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30CE5153-9DA8-AD4E-9EFD-EC02B1CCAF59}" xr6:coauthVersionLast="47" xr6:coauthVersionMax="47" xr10:uidLastSave="{00000000-0000-0000-0000-000000000000}"/>
  <bookViews>
    <workbookView xWindow="3360" yWindow="68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65" i="2" l="1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<sst xmlns="http://schemas.openxmlformats.org/spreadsheetml/2006/main" count="770" uniqueCount="44">
  <si>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</si>
  <si>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</si>
  <si>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</si>
  <si>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</si>
  <si>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</si>
  <si>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</si>
  <si>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</si>
  <si>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</si>
  <si>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</si>
  <si>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</si>
  <si>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</si>
  <si>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</si>
  <si>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</si>
  <si>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</si>
  <si>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</si>
  <si>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</si>
  <si>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</si>
  <si>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</si>
  <si>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</si>
  <si>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</si>
  <si>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</si>
  <si>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</si>
  <si>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</si>
  <si>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</si>
  <si>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</si>
  <si>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</si>
  <si>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</si>
  <si>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</si>
  <si>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</si>
  <si>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</si>
  <si>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</si>
  <si>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</si>
  <si>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</si>
  <si>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</si>
  <si>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</si>
  <si>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</si>
  <si>
    <t>02/15~02/21</t>
    <phoneticPr fontId="2" type="noConversion"/>
  </si>
  <si>
    <t>26Q2W8</t>
    <phoneticPr fontId="2" type="noConversion"/>
  </si>
  <si>
    <t>26Q2W9</t>
    <phoneticPr fontId="2" type="noConversion"/>
  </si>
  <si>
    <t>02/22~02/28</t>
    <phoneticPr fontId="2" type="noConversion"/>
  </si>
  <si>
    <t>26Q2W10</t>
  </si>
  <si>
    <t>03/01-03/07</t>
    <phoneticPr fontId="2" type="noConversion"/>
  </si>
  <si>
    <t>26Q2W11</t>
    <phoneticPr fontId="2" type="noConversion"/>
  </si>
  <si>
    <t>03/08~03/14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</si>
</sst>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BT1" activePane="topRight" state="frozen"/>
      <selection pane="topRight" activeCell="BY5" sqref="BY5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 t="s">
        <v>37</v>
      </c>
      <c r="BF1" s="26"/>
      <c r="BH1" s="25"/>
      <c r="BM1" s="26" t="s">
        <v>38</v>
      </c>
      <c r="BU1" s="26" t="s">
        <v>40</v>
      </c>
      <c r="BV1" s="26"/>
      <c r="BX1" s="25"/>
      <c r="CC1" s="26" t="s">
        <v>42</v>
      </c>
      <c r="CD1" s="26"/>
      <c r="CF1" s="25"/>
      <c r="CK1" s="26"/>
      <c r="CS1" s="26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36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0" t="s">
        <v>43</v>
      </c>
      <c r="CD2" s="21"/>
      <c r="CF2" s="21"/>
      <c r="CG2" s="21"/>
      <c r="CH2" s="21"/>
      <c r="CI2" s="21"/>
      <c r="CK2" s="22"/>
      <c r="CL2" s="21"/>
      <c r="CN2" s="21"/>
      <c r="CO2" s="21"/>
      <c r="CP2" s="21"/>
      <c r="CQ2" s="21"/>
      <c r="CS2" s="22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 t="s">
        <v>16</v>
      </c>
      <c r="L4" s="17" t="s">
        <v>15</v>
      </c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 t="s">
        <v>16</v>
      </c>
      <c r="T4" s="17" t="s">
        <v>15</v>
      </c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 t="s">
        <v>16</v>
      </c>
      <c r="AB4" s="17" t="s">
        <v>15</v>
      </c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 t="s">
        <v>16</v>
      </c>
      <c r="AJ4" s="17" t="s">
        <v>15</v>
      </c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 t="s">
        <v>16</v>
      </c>
      <c r="AR4" s="17" t="s">
        <v>15</v>
      </c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 t="s">
        <v>16</v>
      </c>
      <c r="AZ4" s="17" t="s">
        <v>15</v>
      </c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 t="s">
        <v>16</v>
      </c>
      <c r="BH4" s="17" t="s">
        <v>15</v>
      </c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 t="s">
        <v>16</v>
      </c>
      <c r="BP4" s="17" t="s">
        <v>15</v>
      </c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 t="s">
        <v>16</v>
      </c>
      <c r="BX4" s="17" t="s">
        <v>15</v>
      </c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 t="s">
        <v>16</v>
      </c>
      <c r="CF4" s="17" t="s">
        <v>15</v>
      </c>
      <c r="CG4" s="16" t="s">
        <v>14</v>
      </c>
      <c r="CH4" s="16" t="s">
        <v>14</v>
      </c>
      <c r="CI4" s="16" t="s">
        <v>14</v>
      </c>
      <c r="CK4" s="19"/>
      <c r="CL4" s="19"/>
      <c r="CM4" s="18"/>
      <c r="CN4" s="17"/>
      <c r="CO4" s="16"/>
      <c r="CP4" s="16"/>
      <c r="CQ4" s="16"/>
      <c r="CS4" s="19"/>
      <c r="CT4" s="19"/>
      <c r="CU4" s="18"/>
      <c r="CV4" s="17"/>
      <c r="CW4" s="16"/>
      <c r="CX4" s="16"/>
      <c r="CY4" s="16"/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13053</v>
      </c>
      <c r="BH5" s="1"/>
      <c r="BI5" s="10">
        <f t="shared" ref="BI5:BI65" si="14">BG5-AY5</f>
        <v>4676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7390</v>
      </c>
      <c r="BP5" s="1"/>
      <c r="BQ5" s="10">
        <f t="shared" ref="BQ5:BQ65" si="17">BO5-BG5</f>
        <v>-5663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5435</v>
      </c>
      <c r="BX5" s="33"/>
      <c r="BY5" s="10">
        <f t="shared" ref="BY5:BY36" si="20">BW5-BO5</f>
        <v>-1955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>
        <v>6486</v>
      </c>
      <c r="CF5" s="33"/>
      <c r="CG5" s="10">
        <f t="shared" ref="CG5:CG65" si="23">CE5-BW5</f>
        <v>1051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/>
      <c r="CL5" s="32"/>
      <c r="CM5" s="15"/>
      <c r="CN5" s="33"/>
      <c r="CO5" s="10"/>
      <c r="CP5" s="12"/>
      <c r="CQ5" s="11"/>
      <c r="CR5" s="38"/>
      <c r="CS5" s="14"/>
      <c r="CT5" s="32"/>
      <c r="CU5" s="15"/>
      <c r="CV5" s="33"/>
      <c r="CW5" s="10"/>
      <c r="CX5" s="12"/>
      <c r="CY5" s="11"/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31</v>
      </c>
      <c r="AZ6" s="33"/>
      <c r="BA6" s="10">
        <f t="shared" si="11"/>
        <v>12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18</v>
      </c>
      <c r="BH6" s="33"/>
      <c r="BI6" s="10">
        <f t="shared" si="14"/>
        <v>-13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12</v>
      </c>
      <c r="BP6" s="33"/>
      <c r="BQ6" s="10">
        <f t="shared" si="17"/>
        <v>-6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13</v>
      </c>
      <c r="BX6" s="33"/>
      <c r="BY6" s="10">
        <f t="shared" si="20"/>
        <v>1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-13</v>
      </c>
      <c r="CH6" s="12">
        <f t="shared" si="24"/>
        <v>0</v>
      </c>
      <c r="CI6" s="11" t="e">
        <f t="shared" si="25"/>
        <v>#DIV/0!</v>
      </c>
      <c r="CK6" s="14"/>
      <c r="CL6" s="32"/>
      <c r="CN6" s="33"/>
      <c r="CO6" s="10"/>
      <c r="CP6" s="12"/>
      <c r="CQ6" s="11"/>
      <c r="CS6" s="14"/>
      <c r="CT6" s="32"/>
      <c r="CV6" s="33"/>
      <c r="CW6" s="10"/>
      <c r="CX6" s="12"/>
      <c r="CY6" s="11"/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 t="s">
        <v>10</v>
      </c>
      <c r="BG7" s="10">
        <v>385</v>
      </c>
      <c r="BH7" s="12">
        <v>392687.61904632015</v>
      </c>
      <c r="BI7" s="10">
        <f t="shared" si="14"/>
        <v>43</v>
      </c>
      <c r="BJ7" s="12">
        <f t="shared" si="15"/>
        <v>57399.047618930344</v>
      </c>
      <c r="BK7" s="11">
        <f t="shared" si="16"/>
        <v>0.17119297378545068</v>
      </c>
      <c r="BM7" s="14"/>
      <c r="BN7" s="13" t="s">
        <v>10</v>
      </c>
      <c r="BO7" s="10">
        <v>278</v>
      </c>
      <c r="BP7" s="12">
        <v>285419.99999915995</v>
      </c>
      <c r="BQ7" s="10">
        <f t="shared" si="17"/>
        <v>-107</v>
      </c>
      <c r="BR7" s="12">
        <f t="shared" si="18"/>
        <v>-107267.6190471602</v>
      </c>
      <c r="BS7" s="11">
        <f t="shared" si="19"/>
        <v>-0.27316272233810168</v>
      </c>
      <c r="BU7" s="14"/>
      <c r="BV7" s="13" t="s">
        <v>10</v>
      </c>
      <c r="BW7" s="10">
        <v>192</v>
      </c>
      <c r="BX7" s="12">
        <v>227552.38095164995</v>
      </c>
      <c r="BY7" s="10">
        <f t="shared" si="20"/>
        <v>-86</v>
      </c>
      <c r="BZ7" s="12">
        <f t="shared" si="21"/>
        <v>-57867.619047510001</v>
      </c>
      <c r="CA7" s="11">
        <f t="shared" si="22"/>
        <v>-0.20274549452624313</v>
      </c>
      <c r="CC7" s="14"/>
      <c r="CD7" s="13" t="s">
        <v>10</v>
      </c>
      <c r="CE7" s="10">
        <v>186</v>
      </c>
      <c r="CF7" s="12">
        <v>218509.52380868993</v>
      </c>
      <c r="CG7" s="10">
        <f t="shared" si="23"/>
        <v>-6</v>
      </c>
      <c r="CH7" s="12">
        <f t="shared" si="24"/>
        <v>-9042.8571429600124</v>
      </c>
      <c r="CI7" s="11">
        <f t="shared" si="25"/>
        <v>-3.9739672708067282E-2</v>
      </c>
      <c r="CK7" s="14"/>
      <c r="CL7" s="13"/>
      <c r="CN7" s="12"/>
      <c r="CP7" s="12"/>
      <c r="CQ7" s="11"/>
      <c r="CS7" s="14"/>
      <c r="CT7" s="13"/>
      <c r="CV7" s="12"/>
      <c r="CX7" s="12"/>
      <c r="CY7" s="11"/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 t="s">
        <v>9</v>
      </c>
      <c r="BG8" s="10">
        <v>353</v>
      </c>
      <c r="BH8" s="12">
        <v>458364.76190460002</v>
      </c>
      <c r="BI8" s="10">
        <f t="shared" si="14"/>
        <v>6</v>
      </c>
      <c r="BJ8" s="12">
        <f t="shared" si="15"/>
        <v>10128.571428580035</v>
      </c>
      <c r="BK8" s="11">
        <f t="shared" si="16"/>
        <v>2.2596505243861829E-2</v>
      </c>
      <c r="BM8" s="14"/>
      <c r="BN8" s="13" t="s">
        <v>9</v>
      </c>
      <c r="BO8" s="10">
        <v>372</v>
      </c>
      <c r="BP8" s="12">
        <v>461889.52380932996</v>
      </c>
      <c r="BQ8" s="10">
        <f t="shared" si="17"/>
        <v>19</v>
      </c>
      <c r="BR8" s="12">
        <f t="shared" si="18"/>
        <v>3524.7619047299377</v>
      </c>
      <c r="BS8" s="11">
        <f t="shared" si="19"/>
        <v>7.6898623054787755E-3</v>
      </c>
      <c r="BU8" s="14"/>
      <c r="BV8" s="13" t="s">
        <v>9</v>
      </c>
      <c r="BW8" s="10">
        <v>251</v>
      </c>
      <c r="BX8" s="12">
        <v>308536.19047602999</v>
      </c>
      <c r="BY8" s="10">
        <f t="shared" si="20"/>
        <v>-121</v>
      </c>
      <c r="BZ8" s="12">
        <f t="shared" si="21"/>
        <v>-153353.33333329996</v>
      </c>
      <c r="CA8" s="11">
        <f t="shared" si="22"/>
        <v>-0.33201301486241308</v>
      </c>
      <c r="CC8" s="14"/>
      <c r="CD8" s="13" t="s">
        <v>9</v>
      </c>
      <c r="CE8" s="10">
        <v>233</v>
      </c>
      <c r="CF8" s="12">
        <v>280382.85714268993</v>
      </c>
      <c r="CG8" s="10">
        <f t="shared" si="23"/>
        <v>-18</v>
      </c>
      <c r="CH8" s="12">
        <f t="shared" si="24"/>
        <v>-28153.333333340066</v>
      </c>
      <c r="CI8" s="11">
        <f t="shared" si="25"/>
        <v>-9.1248074625875322E-2</v>
      </c>
      <c r="CK8" s="14"/>
      <c r="CL8" s="13"/>
      <c r="CN8" s="12"/>
      <c r="CP8" s="12"/>
      <c r="CQ8" s="11"/>
      <c r="CS8" s="14"/>
      <c r="CT8" s="13"/>
      <c r="CV8" s="12"/>
      <c r="CX8" s="12"/>
      <c r="CY8" s="11"/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 t="s">
        <v>8</v>
      </c>
      <c r="BG9" s="10">
        <v>150</v>
      </c>
      <c r="BH9" s="12">
        <v>1016579.0476189899</v>
      </c>
      <c r="BI9" s="10">
        <f t="shared" si="14"/>
        <v>-8</v>
      </c>
      <c r="BJ9" s="12">
        <f t="shared" si="15"/>
        <v>-39033.333333360148</v>
      </c>
      <c r="BK9" s="11">
        <f t="shared" si="16"/>
        <v>-3.6976956729273237E-2</v>
      </c>
      <c r="BM9" s="14"/>
      <c r="BN9" s="13" t="s">
        <v>8</v>
      </c>
      <c r="BO9" s="10">
        <v>114</v>
      </c>
      <c r="BP9" s="12">
        <v>758651.42857138999</v>
      </c>
      <c r="BQ9" s="10">
        <f t="shared" si="17"/>
        <v>-36</v>
      </c>
      <c r="BR9" s="12">
        <f t="shared" si="18"/>
        <v>-257927.61904759996</v>
      </c>
      <c r="BS9" s="11">
        <f t="shared" si="19"/>
        <v>-0.25372116379116078</v>
      </c>
      <c r="BU9" s="14"/>
      <c r="BV9" s="13" t="s">
        <v>8</v>
      </c>
      <c r="BW9" s="10">
        <v>73</v>
      </c>
      <c r="BX9" s="12">
        <v>487876.19047616998</v>
      </c>
      <c r="BY9" s="10">
        <f t="shared" si="20"/>
        <v>-41</v>
      </c>
      <c r="BZ9" s="12">
        <f t="shared" si="21"/>
        <v>-270775.23809522</v>
      </c>
      <c r="CA9" s="11">
        <f t="shared" si="22"/>
        <v>-0.35691653359845976</v>
      </c>
      <c r="CC9" s="14"/>
      <c r="CD9" s="13" t="s">
        <v>8</v>
      </c>
      <c r="CE9" s="10">
        <v>75</v>
      </c>
      <c r="CF9" s="12">
        <v>497857.14285712998</v>
      </c>
      <c r="CG9" s="10">
        <f t="shared" si="23"/>
        <v>2</v>
      </c>
      <c r="CH9" s="12">
        <f t="shared" si="24"/>
        <v>9980.9523809599923</v>
      </c>
      <c r="CI9" s="11">
        <f t="shared" si="25"/>
        <v>2.0457961621817462E-2</v>
      </c>
      <c r="CK9" s="14"/>
      <c r="CL9" s="13"/>
      <c r="CN9" s="12"/>
      <c r="CP9" s="12"/>
      <c r="CQ9" s="11"/>
      <c r="CS9" s="14"/>
      <c r="CT9" s="13"/>
      <c r="CV9" s="12"/>
      <c r="CX9" s="12"/>
      <c r="CY9" s="11"/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 t="s">
        <v>7</v>
      </c>
      <c r="BG10" s="10">
        <v>95</v>
      </c>
      <c r="BH10" s="12">
        <v>1234760.95238086</v>
      </c>
      <c r="BI10" s="10">
        <f t="shared" si="14"/>
        <v>14</v>
      </c>
      <c r="BJ10" s="12">
        <f t="shared" si="15"/>
        <v>62475.238095239969</v>
      </c>
      <c r="BK10" s="11">
        <f t="shared" si="16"/>
        <v>5.3293525062967945E-2</v>
      </c>
      <c r="BM10" s="14"/>
      <c r="BN10" s="13" t="s">
        <v>7</v>
      </c>
      <c r="BO10" s="10">
        <v>62</v>
      </c>
      <c r="BP10" s="12">
        <v>947427.61904750997</v>
      </c>
      <c r="BQ10" s="10">
        <f t="shared" si="17"/>
        <v>-33</v>
      </c>
      <c r="BR10" s="12">
        <f t="shared" si="18"/>
        <v>-287333.33333335002</v>
      </c>
      <c r="BS10" s="11">
        <f t="shared" si="19"/>
        <v>-0.23270361180381943</v>
      </c>
      <c r="BU10" s="14"/>
      <c r="BV10" s="13" t="s">
        <v>7</v>
      </c>
      <c r="BW10" s="10">
        <v>36</v>
      </c>
      <c r="BX10" s="12">
        <v>459904.76190469001</v>
      </c>
      <c r="BY10" s="10">
        <f t="shared" si="20"/>
        <v>-26</v>
      </c>
      <c r="BZ10" s="12">
        <f t="shared" si="21"/>
        <v>-487522.85714281996</v>
      </c>
      <c r="CA10" s="11">
        <f t="shared" si="22"/>
        <v>-0.51457530616739655</v>
      </c>
      <c r="CC10" s="14"/>
      <c r="CD10" s="13" t="s">
        <v>7</v>
      </c>
      <c r="CE10" s="10">
        <v>39</v>
      </c>
      <c r="CF10" s="12">
        <v>521999.99999993003</v>
      </c>
      <c r="CG10" s="10">
        <f t="shared" si="23"/>
        <v>3</v>
      </c>
      <c r="CH10" s="12">
        <f t="shared" si="24"/>
        <v>62095.238095240027</v>
      </c>
      <c r="CI10" s="11">
        <f t="shared" si="25"/>
        <v>0.13501760198801455</v>
      </c>
      <c r="CK10" s="14"/>
      <c r="CL10" s="13"/>
      <c r="CN10" s="12"/>
      <c r="CP10" s="12"/>
      <c r="CQ10" s="11"/>
      <c r="CS10" s="14"/>
      <c r="CT10" s="13"/>
      <c r="CV10" s="12"/>
      <c r="CX10" s="12"/>
      <c r="CY10" s="11"/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 t="s">
        <v>6</v>
      </c>
      <c r="BH11" s="12"/>
      <c r="BI11" s="10">
        <f t="shared" si="14"/>
        <v>-3</v>
      </c>
      <c r="BJ11" s="12">
        <f t="shared" si="15"/>
        <v>-8371.4285714200014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/>
      <c r="CN11" s="12"/>
      <c r="CP11" s="12"/>
      <c r="CQ11" s="11"/>
      <c r="CS11" s="14"/>
      <c r="CT11" s="13"/>
      <c r="CV11" s="12"/>
      <c r="CX11" s="12"/>
      <c r="CY11" s="11"/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 t="s">
        <v>5</v>
      </c>
      <c r="BG12" s="10">
        <v>12</v>
      </c>
      <c r="BH12" s="12">
        <v>54780</v>
      </c>
      <c r="BI12" s="10">
        <f t="shared" si="14"/>
        <v>0</v>
      </c>
      <c r="BJ12" s="12">
        <f t="shared" si="15"/>
        <v>-14800</v>
      </c>
      <c r="BK12" s="11">
        <f t="shared" si="16"/>
        <v>-0.21270480022995114</v>
      </c>
      <c r="BM12" s="14"/>
      <c r="BN12" s="13" t="s">
        <v>5</v>
      </c>
      <c r="BO12" s="10">
        <v>6</v>
      </c>
      <c r="BP12" s="12">
        <v>41940</v>
      </c>
      <c r="BQ12" s="10">
        <f t="shared" si="17"/>
        <v>-6</v>
      </c>
      <c r="BR12" s="12">
        <f t="shared" si="18"/>
        <v>-12840</v>
      </c>
      <c r="BS12" s="11">
        <f t="shared" si="19"/>
        <v>-0.23439211391018619</v>
      </c>
      <c r="BU12" s="14"/>
      <c r="BV12" s="13" t="s">
        <v>5</v>
      </c>
      <c r="BW12" s="10">
        <v>8</v>
      </c>
      <c r="BX12" s="12">
        <v>39020</v>
      </c>
      <c r="BY12" s="10">
        <f t="shared" si="20"/>
        <v>2</v>
      </c>
      <c r="BZ12" s="12">
        <f t="shared" si="21"/>
        <v>-2920</v>
      </c>
      <c r="CA12" s="11">
        <f t="shared" si="22"/>
        <v>-6.9623271340009535E-2</v>
      </c>
      <c r="CC12" s="14"/>
      <c r="CD12" s="13" t="s">
        <v>5</v>
      </c>
      <c r="CE12" s="10">
        <v>6</v>
      </c>
      <c r="CF12" s="12">
        <v>36740</v>
      </c>
      <c r="CG12" s="10">
        <f t="shared" si="23"/>
        <v>-2</v>
      </c>
      <c r="CH12" s="12">
        <f t="shared" si="24"/>
        <v>-2280</v>
      </c>
      <c r="CI12" s="11">
        <f t="shared" si="25"/>
        <v>-5.84315735520246E-2</v>
      </c>
      <c r="CK12" s="14"/>
      <c r="CL12" s="13"/>
      <c r="CN12" s="12"/>
      <c r="CP12" s="12"/>
      <c r="CQ12" s="11"/>
      <c r="CS12" s="14"/>
      <c r="CT12" s="13"/>
      <c r="CV12" s="12"/>
      <c r="CX12" s="12"/>
      <c r="CY12" s="11"/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 t="s">
        <v>4</v>
      </c>
      <c r="BG13" s="10">
        <v>22</v>
      </c>
      <c r="BH13" s="12">
        <v>880290.47619039984</v>
      </c>
      <c r="BI13" s="10">
        <f t="shared" si="14"/>
        <v>1</v>
      </c>
      <c r="BJ13" s="12">
        <f t="shared" si="15"/>
        <v>-68723.809523820062</v>
      </c>
      <c r="BK13" s="11">
        <f t="shared" si="16"/>
        <v>-7.2415990526527349E-2</v>
      </c>
      <c r="BM13" s="14"/>
      <c r="BN13" s="13" t="s">
        <v>4</v>
      </c>
      <c r="BO13" s="10">
        <v>28</v>
      </c>
      <c r="BP13" s="12">
        <v>1294961.9047618099</v>
      </c>
      <c r="BQ13" s="10">
        <f t="shared" si="17"/>
        <v>6</v>
      </c>
      <c r="BR13" s="12">
        <f t="shared" si="18"/>
        <v>414671.42857141001</v>
      </c>
      <c r="BS13" s="11">
        <f t="shared" si="19"/>
        <v>0.47106204120936085</v>
      </c>
      <c r="BU13" s="14"/>
      <c r="BV13" s="13" t="s">
        <v>4</v>
      </c>
      <c r="BW13" s="10">
        <v>19</v>
      </c>
      <c r="BX13" s="12">
        <v>590671.42857137998</v>
      </c>
      <c r="BY13" s="10">
        <f t="shared" si="20"/>
        <v>-9</v>
      </c>
      <c r="BZ13" s="12">
        <f t="shared" si="21"/>
        <v>-704290.47619042988</v>
      </c>
      <c r="CA13" s="11">
        <f t="shared" si="22"/>
        <v>-0.54386964867508925</v>
      </c>
      <c r="CC13" s="14"/>
      <c r="CD13" s="13" t="s">
        <v>4</v>
      </c>
      <c r="CE13" s="10">
        <v>18</v>
      </c>
      <c r="CF13" s="12">
        <v>689619.04761897994</v>
      </c>
      <c r="CG13" s="10">
        <f t="shared" si="23"/>
        <v>-1</v>
      </c>
      <c r="CH13" s="12">
        <f t="shared" si="24"/>
        <v>98947.619047599961</v>
      </c>
      <c r="CI13" s="11">
        <f t="shared" si="25"/>
        <v>0.16751719189620934</v>
      </c>
      <c r="CK13" s="14"/>
      <c r="CL13" s="13"/>
      <c r="CN13" s="12"/>
      <c r="CP13" s="12"/>
      <c r="CQ13" s="11"/>
      <c r="CS13" s="14"/>
      <c r="CT13" s="13"/>
      <c r="CV13" s="12"/>
      <c r="CX13" s="12"/>
      <c r="CY13" s="11"/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 t="s">
        <v>3</v>
      </c>
      <c r="BG14" s="10">
        <v>80</v>
      </c>
      <c r="BH14" s="12">
        <v>1443428.5714284801</v>
      </c>
      <c r="BI14" s="10">
        <f t="shared" si="14"/>
        <v>-8</v>
      </c>
      <c r="BJ14" s="12">
        <f t="shared" si="15"/>
        <v>-285714.28571423027</v>
      </c>
      <c r="BK14" s="11">
        <f t="shared" si="16"/>
        <v>-0.16523463317909631</v>
      </c>
      <c r="BM14" s="14"/>
      <c r="BN14" s="13" t="s">
        <v>3</v>
      </c>
      <c r="BO14" s="10">
        <v>65</v>
      </c>
      <c r="BP14" s="12">
        <v>1457142.8571427404</v>
      </c>
      <c r="BQ14" s="10">
        <f t="shared" si="17"/>
        <v>-15</v>
      </c>
      <c r="BR14" s="12">
        <f t="shared" si="18"/>
        <v>13714.285714260302</v>
      </c>
      <c r="BS14" s="11">
        <f t="shared" si="19"/>
        <v>9.5011876484390537E-3</v>
      </c>
      <c r="BU14" s="14"/>
      <c r="BV14" s="13" t="s">
        <v>3</v>
      </c>
      <c r="BW14" s="10">
        <v>45</v>
      </c>
      <c r="BX14" s="12">
        <v>809714.28571423003</v>
      </c>
      <c r="BY14" s="10">
        <f t="shared" si="20"/>
        <v>-20</v>
      </c>
      <c r="BZ14" s="12">
        <f t="shared" si="21"/>
        <v>-647428.57142851036</v>
      </c>
      <c r="CA14" s="11">
        <f t="shared" si="22"/>
        <v>-0.44431372549018977</v>
      </c>
      <c r="CC14" s="14"/>
      <c r="CD14" s="13" t="s">
        <v>3</v>
      </c>
      <c r="CE14" s="10">
        <v>43</v>
      </c>
      <c r="CF14" s="12">
        <v>784380.95238087</v>
      </c>
      <c r="CG14" s="10">
        <f t="shared" si="23"/>
        <v>-2</v>
      </c>
      <c r="CH14" s="12">
        <f t="shared" si="24"/>
        <v>-25333.333333360031</v>
      </c>
      <c r="CI14" s="11">
        <f t="shared" si="25"/>
        <v>-3.1286756057433383E-2</v>
      </c>
      <c r="CK14" s="14"/>
      <c r="CL14" s="13"/>
      <c r="CN14" s="12"/>
      <c r="CP14" s="12"/>
      <c r="CQ14" s="11"/>
      <c r="CS14" s="14"/>
      <c r="CT14" s="13"/>
      <c r="CV14" s="12"/>
      <c r="CX14" s="12"/>
      <c r="CY14" s="11"/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 t="s">
        <v>2</v>
      </c>
      <c r="BG15" s="10">
        <v>166</v>
      </c>
      <c r="BH15" s="12">
        <v>5841256.1904760795</v>
      </c>
      <c r="BI15" s="10">
        <f t="shared" si="14"/>
        <v>-87</v>
      </c>
      <c r="BJ15" s="12">
        <f t="shared" si="15"/>
        <v>-3839411.4285714114</v>
      </c>
      <c r="BK15" s="11">
        <f t="shared" si="16"/>
        <v>-0.39660605855499687</v>
      </c>
      <c r="BM15" s="14"/>
      <c r="BN15" s="13" t="s">
        <v>2</v>
      </c>
      <c r="BO15" s="10">
        <v>101</v>
      </c>
      <c r="BP15" s="12">
        <v>3509025.7142856703</v>
      </c>
      <c r="BQ15" s="10">
        <f t="shared" si="17"/>
        <v>-65</v>
      </c>
      <c r="BR15" s="12">
        <f t="shared" si="18"/>
        <v>-2332230.4761904092</v>
      </c>
      <c r="BS15" s="11">
        <f t="shared" si="19"/>
        <v>-0.39926865046477711</v>
      </c>
      <c r="BU15" s="14"/>
      <c r="BV15" s="13" t="s">
        <v>2</v>
      </c>
      <c r="BW15" s="10">
        <v>65</v>
      </c>
      <c r="BX15" s="12">
        <v>2409999.99999996</v>
      </c>
      <c r="BY15" s="10">
        <f t="shared" si="20"/>
        <v>-36</v>
      </c>
      <c r="BZ15" s="12">
        <f t="shared" si="21"/>
        <v>-1099025.7142857104</v>
      </c>
      <c r="CA15" s="11">
        <f t="shared" si="22"/>
        <v>-0.31319967528634601</v>
      </c>
      <c r="CC15" s="14"/>
      <c r="CD15" s="13" t="s">
        <v>2</v>
      </c>
      <c r="CE15" s="10">
        <v>159</v>
      </c>
      <c r="CF15" s="12">
        <v>6124231.4285713602</v>
      </c>
      <c r="CG15" s="10">
        <f t="shared" si="23"/>
        <v>94</v>
      </c>
      <c r="CH15" s="12">
        <f t="shared" si="24"/>
        <v>3714231.4285714002</v>
      </c>
      <c r="CI15" s="11">
        <f t="shared" si="25"/>
        <v>1.5411748666271627</v>
      </c>
      <c r="CK15" s="14"/>
      <c r="CL15" s="13"/>
      <c r="CN15" s="12"/>
      <c r="CP15" s="12"/>
      <c r="CQ15" s="11"/>
      <c r="CS15" s="14"/>
      <c r="CT15" s="13"/>
      <c r="CV15" s="12"/>
      <c r="CX15" s="12"/>
      <c r="CY15" s="11"/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 t="s">
        <v>19</v>
      </c>
      <c r="BF16" s="9"/>
      <c r="BG16" s="8">
        <v>1263</v>
      </c>
      <c r="BH16" s="7">
        <v>11322147.619045731</v>
      </c>
      <c r="BI16" s="27">
        <f t="shared" si="14"/>
        <v>-42</v>
      </c>
      <c r="BJ16" s="28">
        <f t="shared" si="15"/>
        <v>-4126051.4285714906</v>
      </c>
      <c r="BK16" s="29">
        <f t="shared" si="16"/>
        <v>-0.26708947857633319</v>
      </c>
      <c r="BM16" s="9" t="s">
        <v>19</v>
      </c>
      <c r="BN16" s="9"/>
      <c r="BO16" s="8">
        <v>1026</v>
      </c>
      <c r="BP16" s="7">
        <v>8756459.0476176105</v>
      </c>
      <c r="BQ16" s="27">
        <f t="shared" si="17"/>
        <v>-237</v>
      </c>
      <c r="BR16" s="28">
        <f t="shared" si="18"/>
        <v>-2565688.5714281201</v>
      </c>
      <c r="BS16" s="29">
        <f t="shared" si="19"/>
        <v>-0.22660794204027213</v>
      </c>
      <c r="BU16" s="9" t="s">
        <v>19</v>
      </c>
      <c r="BV16" s="9"/>
      <c r="BW16" s="8">
        <v>689</v>
      </c>
      <c r="BX16" s="7">
        <v>5333275.23809411</v>
      </c>
      <c r="BY16" s="27">
        <f t="shared" si="20"/>
        <v>-337</v>
      </c>
      <c r="BZ16" s="28">
        <f t="shared" si="21"/>
        <v>-3423183.8095235005</v>
      </c>
      <c r="CA16" s="29">
        <f t="shared" si="22"/>
        <v>-0.39093242952524898</v>
      </c>
      <c r="CC16" s="9" t="s">
        <v>19</v>
      </c>
      <c r="CD16" s="9"/>
      <c r="CE16" s="8">
        <v>759</v>
      </c>
      <c r="CF16" s="7">
        <v>9153720.9523796495</v>
      </c>
      <c r="CG16" s="27">
        <f t="shared" si="23"/>
        <v>70</v>
      </c>
      <c r="CH16" s="28">
        <f t="shared" si="24"/>
        <v>3820445.7142855395</v>
      </c>
      <c r="CI16" s="29">
        <f t="shared" si="25"/>
        <v>0.71634137443294743</v>
      </c>
      <c r="CK16" s="9"/>
      <c r="CL16" s="9"/>
      <c r="CM16" s="8"/>
      <c r="CN16" s="7"/>
      <c r="CO16" s="27"/>
      <c r="CP16" s="28"/>
      <c r="CQ16" s="29"/>
      <c r="CS16" s="9"/>
      <c r="CT16" s="9"/>
      <c r="CU16" s="8"/>
      <c r="CV16" s="7"/>
      <c r="CW16" s="27"/>
      <c r="CX16" s="28"/>
      <c r="CY16" s="29"/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8135</v>
      </c>
      <c r="BH17" s="35"/>
      <c r="BI17" s="10">
        <f t="shared" si="14"/>
        <v>3054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4983</v>
      </c>
      <c r="BP17" s="35"/>
      <c r="BQ17" s="10">
        <f t="shared" si="17"/>
        <v>-3152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4024</v>
      </c>
      <c r="BX17" s="33"/>
      <c r="BY17" s="10">
        <f t="shared" si="20"/>
        <v>-959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>
        <v>5542</v>
      </c>
      <c r="CF17" s="33"/>
      <c r="CG17" s="10">
        <f t="shared" si="23"/>
        <v>1518</v>
      </c>
      <c r="CH17" s="12">
        <f t="shared" si="24"/>
        <v>0</v>
      </c>
      <c r="CI17" s="11" t="e">
        <f t="shared" si="25"/>
        <v>#DIV/0!</v>
      </c>
      <c r="CK17" s="14"/>
      <c r="CL17" s="32"/>
      <c r="CM17" s="15"/>
      <c r="CN17" s="33"/>
      <c r="CO17" s="10"/>
      <c r="CP17" s="12"/>
      <c r="CQ17" s="11"/>
      <c r="CS17" s="14"/>
      <c r="CT17" s="32"/>
      <c r="CU17" s="15"/>
      <c r="CV17" s="33"/>
      <c r="CW17" s="10"/>
      <c r="CX17" s="12"/>
      <c r="CY17" s="11"/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18</v>
      </c>
      <c r="AZ18" s="35"/>
      <c r="BA18" s="10">
        <f t="shared" si="11"/>
        <v>3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18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10</v>
      </c>
      <c r="BP18" s="35"/>
      <c r="BQ18" s="10">
        <f t="shared" si="17"/>
        <v>-8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5</v>
      </c>
      <c r="BX18" s="33"/>
      <c r="BY18" s="10">
        <f t="shared" si="20"/>
        <v>-5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-5</v>
      </c>
      <c r="CH18" s="12">
        <f t="shared" si="24"/>
        <v>0</v>
      </c>
      <c r="CI18" s="11" t="e">
        <f t="shared" si="25"/>
        <v>#DIV/0!</v>
      </c>
      <c r="CK18" s="14"/>
      <c r="CL18" s="32"/>
      <c r="CM18" s="15"/>
      <c r="CN18" s="33"/>
      <c r="CO18" s="10"/>
      <c r="CP18" s="12"/>
      <c r="CQ18" s="11"/>
      <c r="CS18" s="14"/>
      <c r="CT18" s="32"/>
      <c r="CU18" s="15"/>
      <c r="CV18" s="33"/>
      <c r="CW18" s="10"/>
      <c r="CX18" s="12"/>
      <c r="CY18" s="11"/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 t="s">
        <v>10</v>
      </c>
      <c r="BG19" s="10">
        <v>321</v>
      </c>
      <c r="BH19" s="12">
        <v>301802.85714181</v>
      </c>
      <c r="BI19" s="10">
        <f t="shared" si="14"/>
        <v>39</v>
      </c>
      <c r="BJ19" s="12">
        <f t="shared" si="15"/>
        <v>38847.61904768995</v>
      </c>
      <c r="BK19" s="11">
        <f t="shared" si="16"/>
        <v>0.1477347221879077</v>
      </c>
      <c r="BM19" s="14"/>
      <c r="BN19" s="13" t="s">
        <v>10</v>
      </c>
      <c r="BO19" s="10">
        <v>188</v>
      </c>
      <c r="BP19" s="12">
        <v>180387.61904688991</v>
      </c>
      <c r="BQ19" s="10">
        <f t="shared" si="17"/>
        <v>-133</v>
      </c>
      <c r="BR19" s="12">
        <f t="shared" si="18"/>
        <v>-121415.23809492009</v>
      </c>
      <c r="BS19" s="11">
        <f t="shared" si="19"/>
        <v>-0.40229982991138469</v>
      </c>
      <c r="BU19" s="14"/>
      <c r="BV19" s="13" t="s">
        <v>10</v>
      </c>
      <c r="BW19" s="10">
        <v>120</v>
      </c>
      <c r="BX19" s="12">
        <v>117983.80952329002</v>
      </c>
      <c r="BY19" s="10">
        <f t="shared" si="20"/>
        <v>-68</v>
      </c>
      <c r="BZ19" s="12">
        <f t="shared" si="21"/>
        <v>-62403.809523599892</v>
      </c>
      <c r="CA19" s="11">
        <f t="shared" si="22"/>
        <v>-0.34594286378034994</v>
      </c>
      <c r="CC19" s="14"/>
      <c r="CD19" s="13" t="s">
        <v>10</v>
      </c>
      <c r="CE19" s="10">
        <v>204</v>
      </c>
      <c r="CF19" s="12">
        <v>216177.14285634996</v>
      </c>
      <c r="CG19" s="10">
        <f t="shared" si="23"/>
        <v>84</v>
      </c>
      <c r="CH19" s="12">
        <f t="shared" si="24"/>
        <v>98193.333333059942</v>
      </c>
      <c r="CI19" s="11">
        <f t="shared" si="25"/>
        <v>0.83226108505740837</v>
      </c>
      <c r="CK19" s="14"/>
      <c r="CL19" s="13"/>
      <c r="CN19" s="12"/>
      <c r="CP19" s="12"/>
      <c r="CQ19" s="11"/>
      <c r="CS19" s="14"/>
      <c r="CT19" s="13"/>
      <c r="CV19" s="12"/>
      <c r="CX19" s="12"/>
      <c r="CY19" s="11"/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 t="s">
        <v>9</v>
      </c>
      <c r="BG20" s="10">
        <v>292</v>
      </c>
      <c r="BH20" s="12">
        <v>289939.04761888995</v>
      </c>
      <c r="BI20" s="10">
        <f t="shared" si="14"/>
        <v>38</v>
      </c>
      <c r="BJ20" s="12">
        <f t="shared" si="15"/>
        <v>-1446.6666667000973</v>
      </c>
      <c r="BK20" s="11">
        <f t="shared" si="16"/>
        <v>-4.9647824027577577E-3</v>
      </c>
      <c r="BM20" s="14"/>
      <c r="BN20" s="13" t="s">
        <v>9</v>
      </c>
      <c r="BO20" s="10">
        <v>246</v>
      </c>
      <c r="BP20" s="12">
        <v>258290.47619038</v>
      </c>
      <c r="BQ20" s="10">
        <f t="shared" si="17"/>
        <v>-46</v>
      </c>
      <c r="BR20" s="12">
        <f t="shared" si="18"/>
        <v>-31648.571428509953</v>
      </c>
      <c r="BS20" s="11">
        <f t="shared" si="19"/>
        <v>-0.10915594739108885</v>
      </c>
      <c r="BU20" s="14"/>
      <c r="BV20" s="13" t="s">
        <v>9</v>
      </c>
      <c r="BW20" s="10">
        <v>211</v>
      </c>
      <c r="BX20" s="12">
        <v>205681.90476174001</v>
      </c>
      <c r="BY20" s="10">
        <f t="shared" si="20"/>
        <v>-35</v>
      </c>
      <c r="BZ20" s="12">
        <f t="shared" si="21"/>
        <v>-52608.571428639989</v>
      </c>
      <c r="CA20" s="11">
        <f t="shared" si="22"/>
        <v>-0.203679873159022</v>
      </c>
      <c r="CC20" s="14"/>
      <c r="CD20" s="13" t="s">
        <v>9</v>
      </c>
      <c r="CE20" s="10">
        <v>253</v>
      </c>
      <c r="CF20" s="12">
        <v>306130.47619033</v>
      </c>
      <c r="CG20" s="10">
        <f t="shared" si="23"/>
        <v>42</v>
      </c>
      <c r="CH20" s="12">
        <f t="shared" si="24"/>
        <v>100448.57142858999</v>
      </c>
      <c r="CI20" s="11">
        <f t="shared" si="25"/>
        <v>0.48836853949280895</v>
      </c>
      <c r="CK20" s="14"/>
      <c r="CL20" s="13"/>
      <c r="CN20" s="12"/>
      <c r="CP20" s="12"/>
      <c r="CQ20" s="11"/>
      <c r="CS20" s="14"/>
      <c r="CT20" s="13"/>
      <c r="CV20" s="12"/>
      <c r="CX20" s="12"/>
      <c r="CY20" s="11"/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 t="s">
        <v>8</v>
      </c>
      <c r="BG21" s="10">
        <v>106</v>
      </c>
      <c r="BH21" s="12">
        <v>684929.52380950004</v>
      </c>
      <c r="BI21" s="10">
        <f t="shared" si="14"/>
        <v>26</v>
      </c>
      <c r="BJ21" s="12">
        <f t="shared" si="15"/>
        <v>199489.52380953007</v>
      </c>
      <c r="BK21" s="11">
        <f t="shared" si="16"/>
        <v>0.41094578899460782</v>
      </c>
      <c r="BM21" s="14"/>
      <c r="BN21" s="13" t="s">
        <v>8</v>
      </c>
      <c r="BO21" s="10">
        <v>69</v>
      </c>
      <c r="BP21" s="12">
        <v>467438.09523807</v>
      </c>
      <c r="BQ21" s="10">
        <f t="shared" si="17"/>
        <v>-37</v>
      </c>
      <c r="BR21" s="12">
        <f t="shared" si="18"/>
        <v>-217491.42857143003</v>
      </c>
      <c r="BS21" s="11">
        <f t="shared" si="19"/>
        <v>-0.31753840506358594</v>
      </c>
      <c r="BU21" s="14"/>
      <c r="BV21" s="13" t="s">
        <v>8</v>
      </c>
      <c r="BW21" s="10">
        <v>60</v>
      </c>
      <c r="BX21" s="12">
        <v>438952.38095237</v>
      </c>
      <c r="BY21" s="10">
        <f t="shared" si="20"/>
        <v>-9</v>
      </c>
      <c r="BZ21" s="12">
        <f t="shared" si="21"/>
        <v>-28485.7142857</v>
      </c>
      <c r="CA21" s="11">
        <f t="shared" si="22"/>
        <v>-6.0940078645477097E-2</v>
      </c>
      <c r="CC21" s="14"/>
      <c r="CD21" s="13" t="s">
        <v>8</v>
      </c>
      <c r="CE21" s="10">
        <v>54</v>
      </c>
      <c r="CF21" s="12">
        <v>328057.14285712002</v>
      </c>
      <c r="CG21" s="10">
        <f t="shared" si="23"/>
        <v>-6</v>
      </c>
      <c r="CH21" s="12">
        <f t="shared" si="24"/>
        <v>-110895.23809524998</v>
      </c>
      <c r="CI21" s="11">
        <f t="shared" si="25"/>
        <v>-0.25263614666959294</v>
      </c>
      <c r="CK21" s="14"/>
      <c r="CL21" s="13"/>
      <c r="CN21" s="12"/>
      <c r="CP21" s="12"/>
      <c r="CQ21" s="11"/>
      <c r="CS21" s="14"/>
      <c r="CT21" s="13"/>
      <c r="CV21" s="12"/>
      <c r="CX21" s="12"/>
      <c r="CY21" s="11"/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 t="s">
        <v>7</v>
      </c>
      <c r="BG22" s="10">
        <v>52</v>
      </c>
      <c r="BH22" s="12">
        <v>633142.85714277998</v>
      </c>
      <c r="BI22" s="10">
        <f t="shared" si="14"/>
        <v>8</v>
      </c>
      <c r="BJ22" s="12">
        <f t="shared" si="15"/>
        <v>87333.333333340008</v>
      </c>
      <c r="BK22" s="11">
        <f t="shared" si="16"/>
        <v>0.16000697958475152</v>
      </c>
      <c r="BM22" s="14"/>
      <c r="BN22" s="13" t="s">
        <v>7</v>
      </c>
      <c r="BO22" s="10">
        <v>52</v>
      </c>
      <c r="BP22" s="12">
        <v>727428.57142847998</v>
      </c>
      <c r="BQ22" s="10">
        <f t="shared" si="17"/>
        <v>0</v>
      </c>
      <c r="BR22" s="12">
        <f t="shared" si="18"/>
        <v>94285.7142857</v>
      </c>
      <c r="BS22" s="11">
        <f t="shared" si="19"/>
        <v>0.14891696750902086</v>
      </c>
      <c r="BU22" s="14"/>
      <c r="BV22" s="13" t="s">
        <v>7</v>
      </c>
      <c r="BW22" s="10">
        <v>38</v>
      </c>
      <c r="BX22" s="12">
        <v>432095.23809518002</v>
      </c>
      <c r="BY22" s="10">
        <f t="shared" si="20"/>
        <v>-14</v>
      </c>
      <c r="BZ22" s="12">
        <f t="shared" si="21"/>
        <v>-295333.33333329996</v>
      </c>
      <c r="CA22" s="11">
        <f t="shared" si="22"/>
        <v>-0.40599633411888447</v>
      </c>
      <c r="CC22" s="14"/>
      <c r="CD22" s="13" t="s">
        <v>7</v>
      </c>
      <c r="CE22" s="10">
        <v>39</v>
      </c>
      <c r="CF22" s="12">
        <v>483428.57142850995</v>
      </c>
      <c r="CG22" s="10">
        <f t="shared" si="23"/>
        <v>1</v>
      </c>
      <c r="CH22" s="12">
        <f t="shared" si="24"/>
        <v>51333.333333329938</v>
      </c>
      <c r="CI22" s="11">
        <f t="shared" si="25"/>
        <v>0.11880096980384325</v>
      </c>
      <c r="CK22" s="14"/>
      <c r="CL22" s="13"/>
      <c r="CN22" s="12"/>
      <c r="CP22" s="12"/>
      <c r="CQ22" s="11"/>
      <c r="CS22" s="14"/>
      <c r="CT22" s="13"/>
      <c r="CV22" s="12"/>
      <c r="CX22" s="12"/>
      <c r="CY22" s="11"/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 t="s">
        <v>6</v>
      </c>
      <c r="BH23" s="12"/>
      <c r="BI23" s="10">
        <f t="shared" si="14"/>
        <v>-4</v>
      </c>
      <c r="BJ23" s="12">
        <f t="shared" si="15"/>
        <v>-13808.571428560001</v>
      </c>
      <c r="BK23" s="11">
        <f t="shared" si="16"/>
        <v>-1</v>
      </c>
      <c r="BM23" s="14"/>
      <c r="BN23" s="13" t="s">
        <v>6</v>
      </c>
      <c r="BO23" s="10">
        <v>1</v>
      </c>
      <c r="BP23" s="12">
        <v>8857.1428571399993</v>
      </c>
      <c r="BQ23" s="10">
        <f t="shared" si="17"/>
        <v>1</v>
      </c>
      <c r="BR23" s="12">
        <f t="shared" si="18"/>
        <v>8857.1428571399993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-8857.1428571399993</v>
      </c>
      <c r="CA23" s="11">
        <f t="shared" si="22"/>
        <v>-1</v>
      </c>
      <c r="CC23" s="14"/>
      <c r="CD23" s="13" t="s">
        <v>6</v>
      </c>
      <c r="CE23" s="10">
        <v>2</v>
      </c>
      <c r="CF23" s="12">
        <v>11514.285714279999</v>
      </c>
      <c r="CG23" s="10">
        <f t="shared" si="23"/>
        <v>2</v>
      </c>
      <c r="CH23" s="12">
        <f t="shared" si="24"/>
        <v>11514.285714279999</v>
      </c>
      <c r="CI23" s="11" t="e">
        <f t="shared" si="25"/>
        <v>#DIV/0!</v>
      </c>
      <c r="CK23" s="14"/>
      <c r="CL23" s="13"/>
      <c r="CN23" s="12"/>
      <c r="CP23" s="12"/>
      <c r="CQ23" s="11"/>
      <c r="CS23" s="14"/>
      <c r="CT23" s="13"/>
      <c r="CV23" s="12"/>
      <c r="CX23" s="12"/>
      <c r="CY23" s="11"/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 t="s">
        <v>5</v>
      </c>
      <c r="BG24" s="10">
        <v>15</v>
      </c>
      <c r="BH24" s="12">
        <v>79350</v>
      </c>
      <c r="BI24" s="10">
        <f t="shared" si="14"/>
        <v>-1</v>
      </c>
      <c r="BJ24" s="12">
        <f t="shared" si="15"/>
        <v>1810</v>
      </c>
      <c r="BK24" s="11">
        <f t="shared" si="16"/>
        <v>2.3342790817642508E-2</v>
      </c>
      <c r="BM24" s="14"/>
      <c r="BN24" s="13" t="s">
        <v>5</v>
      </c>
      <c r="BO24" s="10">
        <v>10</v>
      </c>
      <c r="BP24" s="12">
        <v>54800</v>
      </c>
      <c r="BQ24" s="10">
        <f t="shared" si="17"/>
        <v>-5</v>
      </c>
      <c r="BR24" s="12">
        <f t="shared" si="18"/>
        <v>-24550</v>
      </c>
      <c r="BS24" s="11">
        <f t="shared" si="19"/>
        <v>-0.30938878386893509</v>
      </c>
      <c r="BU24" s="14"/>
      <c r="BV24" s="13" t="s">
        <v>5</v>
      </c>
      <c r="BW24" s="10">
        <v>8</v>
      </c>
      <c r="BX24" s="12">
        <v>45620</v>
      </c>
      <c r="BY24" s="10">
        <f t="shared" si="20"/>
        <v>-2</v>
      </c>
      <c r="BZ24" s="12">
        <f t="shared" si="21"/>
        <v>-9180</v>
      </c>
      <c r="CA24" s="11">
        <f t="shared" si="22"/>
        <v>-0.16751824817518249</v>
      </c>
      <c r="CC24" s="14"/>
      <c r="CD24" s="13" t="s">
        <v>5</v>
      </c>
      <c r="CE24" s="10">
        <v>19</v>
      </c>
      <c r="CF24" s="12">
        <v>104510</v>
      </c>
      <c r="CG24" s="10">
        <f t="shared" si="23"/>
        <v>11</v>
      </c>
      <c r="CH24" s="12">
        <f t="shared" si="24"/>
        <v>58890</v>
      </c>
      <c r="CI24" s="11">
        <f t="shared" si="25"/>
        <v>1.2908811924594477</v>
      </c>
      <c r="CK24" s="14"/>
      <c r="CL24" s="13"/>
      <c r="CN24" s="12"/>
      <c r="CP24" s="12"/>
      <c r="CQ24" s="11"/>
      <c r="CS24" s="14"/>
      <c r="CT24" s="13"/>
      <c r="CV24" s="12"/>
      <c r="CX24" s="12"/>
      <c r="CY24" s="11"/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 t="s">
        <v>4</v>
      </c>
      <c r="BG25" s="10">
        <v>9</v>
      </c>
      <c r="BH25" s="12">
        <v>334095.23809520999</v>
      </c>
      <c r="BI25" s="10">
        <f t="shared" si="14"/>
        <v>6</v>
      </c>
      <c r="BJ25" s="12">
        <f t="shared" si="15"/>
        <v>223428.57142855</v>
      </c>
      <c r="BK25" s="11">
        <f t="shared" si="16"/>
        <v>2.0189328743544892</v>
      </c>
      <c r="BM25" s="14"/>
      <c r="BN25" s="13" t="s">
        <v>4</v>
      </c>
      <c r="BO25" s="10">
        <v>7</v>
      </c>
      <c r="BP25" s="12">
        <v>309623.80952378002</v>
      </c>
      <c r="BQ25" s="10">
        <f t="shared" si="17"/>
        <v>-2</v>
      </c>
      <c r="BR25" s="12">
        <f t="shared" si="18"/>
        <v>-24471.428571429977</v>
      </c>
      <c r="BS25" s="11">
        <f t="shared" si="19"/>
        <v>-7.3246864310158602E-2</v>
      </c>
      <c r="BU25" s="14"/>
      <c r="BV25" s="13" t="s">
        <v>4</v>
      </c>
      <c r="BW25" s="10">
        <v>5</v>
      </c>
      <c r="BX25" s="12">
        <v>183142.85714283001</v>
      </c>
      <c r="BY25" s="10">
        <f t="shared" si="20"/>
        <v>-2</v>
      </c>
      <c r="BZ25" s="12">
        <f t="shared" si="21"/>
        <v>-126480.95238095001</v>
      </c>
      <c r="CA25" s="11">
        <f t="shared" si="22"/>
        <v>-0.40849879269777506</v>
      </c>
      <c r="CC25" s="14"/>
      <c r="CD25" s="13" t="s">
        <v>4</v>
      </c>
      <c r="CE25" s="10">
        <v>9</v>
      </c>
      <c r="CF25" s="12">
        <v>336195.23809522</v>
      </c>
      <c r="CG25" s="10">
        <f t="shared" si="23"/>
        <v>4</v>
      </c>
      <c r="CH25" s="12">
        <f t="shared" si="24"/>
        <v>153052.38095239</v>
      </c>
      <c r="CI25" s="11">
        <f t="shared" si="25"/>
        <v>0.83569942797729235</v>
      </c>
      <c r="CK25" s="14"/>
      <c r="CL25" s="13"/>
      <c r="CN25" s="12"/>
      <c r="CP25" s="12"/>
      <c r="CQ25" s="11"/>
      <c r="CS25" s="14"/>
      <c r="CT25" s="13"/>
      <c r="CV25" s="12"/>
      <c r="CX25" s="12"/>
      <c r="CY25" s="11"/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 t="s">
        <v>3</v>
      </c>
      <c r="BG26" s="10">
        <v>45</v>
      </c>
      <c r="BH26" s="12">
        <v>819904.76190468017</v>
      </c>
      <c r="BI26" s="10">
        <f t="shared" si="14"/>
        <v>6</v>
      </c>
      <c r="BJ26" s="12">
        <f t="shared" si="15"/>
        <v>117904.76190476015</v>
      </c>
      <c r="BK26" s="11">
        <f t="shared" si="16"/>
        <v>0.16795550128885126</v>
      </c>
      <c r="BM26" s="14"/>
      <c r="BN26" s="13" t="s">
        <v>3</v>
      </c>
      <c r="BO26" s="10">
        <v>41</v>
      </c>
      <c r="BP26" s="12">
        <v>694666.66666659992</v>
      </c>
      <c r="BQ26" s="10">
        <f t="shared" si="17"/>
        <v>-4</v>
      </c>
      <c r="BR26" s="12">
        <f t="shared" si="18"/>
        <v>-125238.09523808025</v>
      </c>
      <c r="BS26" s="11">
        <f t="shared" si="19"/>
        <v>-0.15274712510163477</v>
      </c>
      <c r="BU26" s="14"/>
      <c r="BV26" s="13" t="s">
        <v>3</v>
      </c>
      <c r="BW26" s="10">
        <v>24</v>
      </c>
      <c r="BX26" s="12">
        <v>391142.85714281001</v>
      </c>
      <c r="BY26" s="10">
        <f t="shared" si="20"/>
        <v>-17</v>
      </c>
      <c r="BZ26" s="12">
        <f t="shared" si="21"/>
        <v>-303523.80952378991</v>
      </c>
      <c r="CA26" s="11">
        <f t="shared" si="22"/>
        <v>-0.43693446668496028</v>
      </c>
      <c r="CC26" s="14"/>
      <c r="CD26" s="13" t="s">
        <v>3</v>
      </c>
      <c r="CE26" s="10">
        <v>34</v>
      </c>
      <c r="CF26" s="12">
        <v>621619.04761897004</v>
      </c>
      <c r="CG26" s="10">
        <f t="shared" si="23"/>
        <v>10</v>
      </c>
      <c r="CH26" s="12">
        <f t="shared" si="24"/>
        <v>230476.19047616003</v>
      </c>
      <c r="CI26" s="11">
        <f t="shared" si="25"/>
        <v>0.58923788653517695</v>
      </c>
      <c r="CK26" s="14"/>
      <c r="CL26" s="13"/>
      <c r="CN26" s="12"/>
      <c r="CP26" s="12"/>
      <c r="CQ26" s="11"/>
      <c r="CS26" s="14"/>
      <c r="CT26" s="13"/>
      <c r="CV26" s="12"/>
      <c r="CX26" s="12"/>
      <c r="CY26" s="11"/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 t="s">
        <v>2</v>
      </c>
      <c r="BG27" s="10">
        <v>91</v>
      </c>
      <c r="BH27" s="12">
        <v>3004521.9047618601</v>
      </c>
      <c r="BI27" s="10">
        <f t="shared" si="14"/>
        <v>-47</v>
      </c>
      <c r="BJ27" s="12">
        <f t="shared" si="15"/>
        <v>-1966274.2857142203</v>
      </c>
      <c r="BK27" s="11">
        <f t="shared" si="16"/>
        <v>-0.39556525964221828</v>
      </c>
      <c r="BM27" s="14"/>
      <c r="BN27" s="13" t="s">
        <v>2</v>
      </c>
      <c r="BO27" s="10">
        <v>48</v>
      </c>
      <c r="BP27" s="12">
        <v>1501568.5714285299</v>
      </c>
      <c r="BQ27" s="10">
        <f t="shared" si="17"/>
        <v>-43</v>
      </c>
      <c r="BR27" s="12">
        <f t="shared" si="18"/>
        <v>-1502953.3333333302</v>
      </c>
      <c r="BS27" s="11">
        <f t="shared" si="19"/>
        <v>-0.50023044629872815</v>
      </c>
      <c r="BU27" s="14"/>
      <c r="BV27" s="13" t="s">
        <v>2</v>
      </c>
      <c r="BW27" s="10">
        <v>19</v>
      </c>
      <c r="BX27" s="12">
        <v>661047.61904760008</v>
      </c>
      <c r="BY27" s="10">
        <f t="shared" si="20"/>
        <v>-29</v>
      </c>
      <c r="BZ27" s="12">
        <f t="shared" si="21"/>
        <v>-840520.95238092984</v>
      </c>
      <c r="CA27" s="11">
        <f t="shared" si="22"/>
        <v>-0.55976195051904498</v>
      </c>
      <c r="CC27" s="14"/>
      <c r="CD27" s="13" t="s">
        <v>2</v>
      </c>
      <c r="CE27" s="10">
        <v>145</v>
      </c>
      <c r="CF27" s="12">
        <v>5108095.2380951494</v>
      </c>
      <c r="CG27" s="10">
        <f t="shared" si="23"/>
        <v>126</v>
      </c>
      <c r="CH27" s="12">
        <f t="shared" si="24"/>
        <v>4447047.6190475496</v>
      </c>
      <c r="CI27" s="11">
        <f t="shared" si="25"/>
        <v>6.7272727272728154</v>
      </c>
      <c r="CK27" s="14"/>
      <c r="CL27" s="13"/>
      <c r="CN27" s="12"/>
      <c r="CP27" s="12"/>
      <c r="CQ27" s="11"/>
      <c r="CS27" s="14"/>
      <c r="CT27" s="13"/>
      <c r="CV27" s="12"/>
      <c r="CX27" s="12"/>
      <c r="CY27" s="11"/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 t="s">
        <v>13</v>
      </c>
      <c r="BF28" s="9"/>
      <c r="BG28" s="8">
        <v>931</v>
      </c>
      <c r="BH28" s="7">
        <v>6147686.19047473</v>
      </c>
      <c r="BI28" s="27">
        <f t="shared" si="14"/>
        <v>71</v>
      </c>
      <c r="BJ28" s="28">
        <f t="shared" si="15"/>
        <v>-1312715.7142856102</v>
      </c>
      <c r="BK28" s="29">
        <f t="shared" si="16"/>
        <v>-0.17595777426521639</v>
      </c>
      <c r="BM28" s="9" t="s">
        <v>13</v>
      </c>
      <c r="BN28" s="9"/>
      <c r="BO28" s="8">
        <v>662</v>
      </c>
      <c r="BP28" s="7">
        <v>4203060.9523798693</v>
      </c>
      <c r="BQ28" s="27">
        <f t="shared" si="17"/>
        <v>-269</v>
      </c>
      <c r="BR28" s="28">
        <f t="shared" si="18"/>
        <v>-1944625.2380948607</v>
      </c>
      <c r="BS28" s="29">
        <f t="shared" si="19"/>
        <v>-0.3163182338597369</v>
      </c>
      <c r="BU28" s="9" t="s">
        <v>13</v>
      </c>
      <c r="BV28" s="9"/>
      <c r="BW28" s="8">
        <v>485</v>
      </c>
      <c r="BX28" s="7">
        <v>2475666.6666658204</v>
      </c>
      <c r="BY28" s="27">
        <f t="shared" si="20"/>
        <v>-177</v>
      </c>
      <c r="BZ28" s="28">
        <f t="shared" si="21"/>
        <v>-1727394.2857140489</v>
      </c>
      <c r="CA28" s="29">
        <f t="shared" si="22"/>
        <v>-0.41098482874390835</v>
      </c>
      <c r="CC28" s="9" t="s">
        <v>13</v>
      </c>
      <c r="CD28" s="9"/>
      <c r="CE28" s="8">
        <v>759</v>
      </c>
      <c r="CF28" s="7">
        <v>7515727.1428559292</v>
      </c>
      <c r="CG28" s="27">
        <f t="shared" si="23"/>
        <v>274</v>
      </c>
      <c r="CH28" s="28">
        <f t="shared" si="24"/>
        <v>5040060.4761901088</v>
      </c>
      <c r="CI28" s="29">
        <f t="shared" si="25"/>
        <v>2.0358396968594983</v>
      </c>
      <c r="CK28" s="9"/>
      <c r="CL28" s="9"/>
      <c r="CM28" s="8"/>
      <c r="CN28" s="7"/>
      <c r="CO28" s="27"/>
      <c r="CP28" s="28"/>
      <c r="CQ28" s="29"/>
      <c r="CS28" s="9"/>
      <c r="CT28" s="9"/>
      <c r="CU28" s="8"/>
      <c r="CV28" s="7"/>
      <c r="CW28" s="27"/>
      <c r="CX28" s="28"/>
      <c r="CY28" s="29"/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11695</v>
      </c>
      <c r="BH29" s="35"/>
      <c r="BI29" s="10">
        <f t="shared" si="14"/>
        <v>7272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4683</v>
      </c>
      <c r="BP29" s="35"/>
      <c r="BQ29" s="10">
        <f t="shared" si="17"/>
        <v>-7012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2748</v>
      </c>
      <c r="BX29" s="33"/>
      <c r="BY29" s="10">
        <f t="shared" si="20"/>
        <v>-1935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>
        <v>3502</v>
      </c>
      <c r="CF29" s="33"/>
      <c r="CG29" s="10">
        <f t="shared" si="23"/>
        <v>754</v>
      </c>
      <c r="CH29" s="12">
        <f t="shared" si="24"/>
        <v>0</v>
      </c>
      <c r="CI29" s="11" t="e">
        <f t="shared" si="25"/>
        <v>#DIV/0!</v>
      </c>
      <c r="CK29" s="14"/>
      <c r="CL29" s="32"/>
      <c r="CM29" s="15"/>
      <c r="CN29" s="33"/>
      <c r="CO29" s="10"/>
      <c r="CP29" s="12"/>
      <c r="CQ29" s="11"/>
      <c r="CS29" s="14"/>
      <c r="CT29" s="32"/>
      <c r="CU29" s="15"/>
      <c r="CV29" s="33"/>
      <c r="CW29" s="10"/>
      <c r="CX29" s="12"/>
      <c r="CY29" s="11"/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0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11</v>
      </c>
      <c r="BH30" s="35"/>
      <c r="BI30" s="10">
        <f t="shared" si="14"/>
        <v>11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3</v>
      </c>
      <c r="BP30" s="35"/>
      <c r="BQ30" s="10">
        <f t="shared" si="17"/>
        <v>-8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1</v>
      </c>
      <c r="BX30" s="33"/>
      <c r="BY30" s="10">
        <f t="shared" si="20"/>
        <v>-2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-1</v>
      </c>
      <c r="CH30" s="12">
        <f t="shared" si="24"/>
        <v>0</v>
      </c>
      <c r="CI30" s="11" t="e">
        <f t="shared" si="25"/>
        <v>#DIV/0!</v>
      </c>
      <c r="CK30" s="14"/>
      <c r="CL30" s="32"/>
      <c r="CM30" s="15"/>
      <c r="CN30" s="33"/>
      <c r="CO30" s="10"/>
      <c r="CP30" s="12"/>
      <c r="CQ30" s="11"/>
      <c r="CS30" s="14"/>
      <c r="CT30" s="32"/>
      <c r="CU30" s="15"/>
      <c r="CV30" s="33"/>
      <c r="CW30" s="10"/>
      <c r="CX30" s="12"/>
      <c r="CY30" s="11"/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 t="s">
        <v>10</v>
      </c>
      <c r="BG31" s="10">
        <v>311</v>
      </c>
      <c r="BH31" s="12">
        <v>289567.61904652009</v>
      </c>
      <c r="BI31" s="10">
        <f t="shared" si="14"/>
        <v>151</v>
      </c>
      <c r="BJ31" s="12">
        <f t="shared" si="15"/>
        <v>149152.38095195015</v>
      </c>
      <c r="BK31" s="11">
        <f t="shared" si="16"/>
        <v>1.0622236088899106</v>
      </c>
      <c r="BM31" s="14"/>
      <c r="BN31" s="13" t="s">
        <v>10</v>
      </c>
      <c r="BO31" s="10">
        <v>86</v>
      </c>
      <c r="BP31" s="12">
        <v>89586.666666300007</v>
      </c>
      <c r="BQ31" s="10">
        <f t="shared" si="17"/>
        <v>-225</v>
      </c>
      <c r="BR31" s="12">
        <f t="shared" si="18"/>
        <v>-199980.95238022009</v>
      </c>
      <c r="BS31" s="11">
        <f t="shared" si="19"/>
        <v>-0.69061918262377398</v>
      </c>
      <c r="BU31" s="14"/>
      <c r="BV31" s="13" t="s">
        <v>10</v>
      </c>
      <c r="BW31" s="10">
        <v>101</v>
      </c>
      <c r="BX31" s="12">
        <v>103318.09523764004</v>
      </c>
      <c r="BY31" s="10">
        <f t="shared" si="20"/>
        <v>15</v>
      </c>
      <c r="BZ31" s="12">
        <f t="shared" si="21"/>
        <v>13731.428571340031</v>
      </c>
      <c r="CA31" s="11">
        <f t="shared" si="22"/>
        <v>0.15327535985335874</v>
      </c>
      <c r="CC31" s="14"/>
      <c r="CD31" s="13" t="s">
        <v>10</v>
      </c>
      <c r="CE31" s="10">
        <v>87</v>
      </c>
      <c r="CF31" s="12">
        <v>76910.476190090034</v>
      </c>
      <c r="CG31" s="10">
        <f t="shared" si="23"/>
        <v>-14</v>
      </c>
      <c r="CH31" s="12">
        <f t="shared" si="24"/>
        <v>-26407.619047550004</v>
      </c>
      <c r="CI31" s="11">
        <f t="shared" si="25"/>
        <v>-0.25559529515919094</v>
      </c>
      <c r="CK31" s="14"/>
      <c r="CL31" s="13"/>
      <c r="CN31" s="12"/>
      <c r="CP31" s="12"/>
      <c r="CQ31" s="11"/>
      <c r="CS31" s="14"/>
      <c r="CT31" s="13"/>
      <c r="CV31" s="12"/>
      <c r="CX31" s="12"/>
      <c r="CY31" s="11"/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 t="s">
        <v>9</v>
      </c>
      <c r="BG32" s="10">
        <v>210</v>
      </c>
      <c r="BH32" s="12">
        <v>208214.28571416999</v>
      </c>
      <c r="BI32" s="10">
        <f t="shared" si="14"/>
        <v>101</v>
      </c>
      <c r="BJ32" s="12">
        <f t="shared" si="15"/>
        <v>108709.52380955</v>
      </c>
      <c r="BK32" s="11">
        <f t="shared" si="16"/>
        <v>1.0925057427277018</v>
      </c>
      <c r="BM32" s="14"/>
      <c r="BN32" s="13" t="s">
        <v>9</v>
      </c>
      <c r="BO32" s="10">
        <v>127</v>
      </c>
      <c r="BP32" s="12">
        <v>111086.66666657002</v>
      </c>
      <c r="BQ32" s="10">
        <f t="shared" si="17"/>
        <v>-83</v>
      </c>
      <c r="BR32" s="12">
        <f t="shared" si="18"/>
        <v>-97127.619047599976</v>
      </c>
      <c r="BS32" s="11">
        <f t="shared" si="19"/>
        <v>-0.46647913093212878</v>
      </c>
      <c r="BU32" s="14"/>
      <c r="BV32" s="13" t="s">
        <v>9</v>
      </c>
      <c r="BW32" s="10">
        <v>77</v>
      </c>
      <c r="BX32" s="12">
        <v>83135.238095119988</v>
      </c>
      <c r="BY32" s="10">
        <f t="shared" si="20"/>
        <v>-50</v>
      </c>
      <c r="BZ32" s="12">
        <f t="shared" si="21"/>
        <v>-27951.428571450029</v>
      </c>
      <c r="CA32" s="11">
        <f t="shared" si="22"/>
        <v>-0.25161821315016214</v>
      </c>
      <c r="CC32" s="14"/>
      <c r="CD32" s="13" t="s">
        <v>9</v>
      </c>
      <c r="CE32" s="10">
        <v>80</v>
      </c>
      <c r="CF32" s="12">
        <v>83333.333333229995</v>
      </c>
      <c r="CG32" s="10">
        <f t="shared" si="23"/>
        <v>3</v>
      </c>
      <c r="CH32" s="12">
        <f t="shared" si="24"/>
        <v>198.0952381100069</v>
      </c>
      <c r="CI32" s="11">
        <f t="shared" si="25"/>
        <v>2.382807130273138E-3</v>
      </c>
      <c r="CK32" s="14"/>
      <c r="CL32" s="13"/>
      <c r="CN32" s="12"/>
      <c r="CP32" s="12"/>
      <c r="CQ32" s="11"/>
      <c r="CS32" s="14"/>
      <c r="CT32" s="13"/>
      <c r="CV32" s="12"/>
      <c r="CX32" s="12"/>
      <c r="CY32" s="11"/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 t="s">
        <v>8</v>
      </c>
      <c r="BG33" s="10">
        <v>68</v>
      </c>
      <c r="BH33" s="12">
        <v>391448.57142856001</v>
      </c>
      <c r="BI33" s="10">
        <f t="shared" si="14"/>
        <v>29</v>
      </c>
      <c r="BJ33" s="12">
        <f t="shared" si="15"/>
        <v>147046.66666668002</v>
      </c>
      <c r="BK33" s="11">
        <f t="shared" si="16"/>
        <v>0.60165924979163776</v>
      </c>
      <c r="BM33" s="14"/>
      <c r="BN33" s="13" t="s">
        <v>8</v>
      </c>
      <c r="BO33" s="10">
        <v>17</v>
      </c>
      <c r="BP33" s="12">
        <v>101266.66666666001</v>
      </c>
      <c r="BQ33" s="10">
        <f t="shared" si="17"/>
        <v>-51</v>
      </c>
      <c r="BR33" s="12">
        <f t="shared" si="18"/>
        <v>-290181.90476190002</v>
      </c>
      <c r="BS33" s="11">
        <f t="shared" si="19"/>
        <v>-0.74130275582027172</v>
      </c>
      <c r="BU33" s="14"/>
      <c r="BV33" s="13" t="s">
        <v>8</v>
      </c>
      <c r="BW33" s="10">
        <v>30</v>
      </c>
      <c r="BX33" s="12">
        <v>209238.09523807</v>
      </c>
      <c r="BY33" s="10">
        <f t="shared" si="20"/>
        <v>13</v>
      </c>
      <c r="BZ33" s="12">
        <f t="shared" si="21"/>
        <v>107971.42857141</v>
      </c>
      <c r="CA33" s="11">
        <f t="shared" si="22"/>
        <v>1.0662089720679766</v>
      </c>
      <c r="CC33" s="14"/>
      <c r="CD33" s="13" t="s">
        <v>8</v>
      </c>
      <c r="CE33" s="10">
        <v>19</v>
      </c>
      <c r="CF33" s="12">
        <v>112676.19047618</v>
      </c>
      <c r="CG33" s="10">
        <f t="shared" si="23"/>
        <v>-11</v>
      </c>
      <c r="CH33" s="12">
        <f t="shared" si="24"/>
        <v>-96561.904761890008</v>
      </c>
      <c r="CI33" s="11">
        <f t="shared" si="25"/>
        <v>-0.46149294492488274</v>
      </c>
      <c r="CK33" s="14"/>
      <c r="CL33" s="13"/>
      <c r="CN33" s="12"/>
      <c r="CP33" s="12"/>
      <c r="CQ33" s="11"/>
      <c r="CS33" s="14"/>
      <c r="CT33" s="13"/>
      <c r="CV33" s="12"/>
      <c r="CX33" s="12"/>
      <c r="CY33" s="11"/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 t="s">
        <v>7</v>
      </c>
      <c r="BG34" s="10">
        <v>26</v>
      </c>
      <c r="BH34" s="12">
        <v>309902.85714282002</v>
      </c>
      <c r="BI34" s="10">
        <f t="shared" si="14"/>
        <v>-8</v>
      </c>
      <c r="BJ34" s="12">
        <f t="shared" si="15"/>
        <v>-111143.80952377006</v>
      </c>
      <c r="BK34" s="11">
        <f t="shared" si="16"/>
        <v>-0.26397028719807053</v>
      </c>
      <c r="BM34" s="14"/>
      <c r="BN34" s="13" t="s">
        <v>7</v>
      </c>
      <c r="BO34" s="10">
        <v>3</v>
      </c>
      <c r="BP34" s="12">
        <v>36857.142857130006</v>
      </c>
      <c r="BQ34" s="10">
        <f t="shared" si="17"/>
        <v>-23</v>
      </c>
      <c r="BR34" s="12">
        <f t="shared" si="18"/>
        <v>-273045.71428568999</v>
      </c>
      <c r="BS34" s="11">
        <f t="shared" si="19"/>
        <v>-0.88106872199585995</v>
      </c>
      <c r="BU34" s="14"/>
      <c r="BV34" s="13" t="s">
        <v>7</v>
      </c>
      <c r="BW34" s="10">
        <v>19</v>
      </c>
      <c r="BX34" s="12">
        <v>237714.28571423003</v>
      </c>
      <c r="BY34" s="10">
        <f t="shared" si="20"/>
        <v>16</v>
      </c>
      <c r="BZ34" s="12">
        <f t="shared" si="21"/>
        <v>200857.14285710003</v>
      </c>
      <c r="CA34" s="11">
        <f t="shared" si="22"/>
        <v>5.4496124031015132</v>
      </c>
      <c r="CC34" s="14"/>
      <c r="CD34" s="13" t="s">
        <v>7</v>
      </c>
      <c r="CE34" s="10">
        <v>9</v>
      </c>
      <c r="CF34" s="12">
        <v>107238.09523807</v>
      </c>
      <c r="CG34" s="10">
        <f t="shared" si="23"/>
        <v>-10</v>
      </c>
      <c r="CH34" s="12">
        <f t="shared" si="24"/>
        <v>-130476.19047616003</v>
      </c>
      <c r="CI34" s="11">
        <f t="shared" si="25"/>
        <v>-0.54887820512820562</v>
      </c>
      <c r="CK34" s="14"/>
      <c r="CL34" s="13"/>
      <c r="CN34" s="12"/>
      <c r="CP34" s="12"/>
      <c r="CQ34" s="11"/>
      <c r="CS34" s="14"/>
      <c r="CT34" s="13"/>
      <c r="CV34" s="12"/>
      <c r="CX34" s="12"/>
      <c r="CY34" s="11"/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-1</v>
      </c>
      <c r="BJ35" s="12">
        <f t="shared" si="15"/>
        <v>-2857.1428571400002</v>
      </c>
      <c r="BK35" s="11">
        <f t="shared" si="16"/>
        <v>-1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E35" s="10">
        <v>1</v>
      </c>
      <c r="CF35" s="12">
        <v>8857.1428571399993</v>
      </c>
      <c r="CG35" s="10">
        <f t="shared" si="23"/>
        <v>1</v>
      </c>
      <c r="CH35" s="12">
        <f t="shared" si="24"/>
        <v>8857.1428571399993</v>
      </c>
      <c r="CI35" s="11" t="e">
        <f t="shared" si="25"/>
        <v>#DIV/0!</v>
      </c>
      <c r="CK35" s="14"/>
      <c r="CL35" s="13"/>
      <c r="CN35" s="12"/>
      <c r="CP35" s="12"/>
      <c r="CQ35" s="11"/>
      <c r="CS35" s="14"/>
      <c r="CT35" s="13"/>
      <c r="CV35" s="12"/>
      <c r="CX35" s="12"/>
      <c r="CY35" s="11"/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 t="s">
        <v>5</v>
      </c>
      <c r="BG36" s="10">
        <v>4</v>
      </c>
      <c r="BH36" s="12">
        <v>17560</v>
      </c>
      <c r="BI36" s="10">
        <f t="shared" si="14"/>
        <v>-1</v>
      </c>
      <c r="BJ36" s="12">
        <f t="shared" si="15"/>
        <v>-1990</v>
      </c>
      <c r="BK36" s="11">
        <f t="shared" si="16"/>
        <v>-0.10179028132992328</v>
      </c>
      <c r="BM36" s="14"/>
      <c r="BN36" s="13" t="s">
        <v>5</v>
      </c>
      <c r="BP36" s="12"/>
      <c r="BQ36" s="10">
        <f t="shared" si="17"/>
        <v>-4</v>
      </c>
      <c r="BR36" s="12">
        <f t="shared" si="18"/>
        <v>-17560</v>
      </c>
      <c r="BS36" s="11">
        <f t="shared" si="19"/>
        <v>-1</v>
      </c>
      <c r="BU36" s="14"/>
      <c r="BV36" s="13" t="s">
        <v>5</v>
      </c>
      <c r="BW36" s="10">
        <v>1</v>
      </c>
      <c r="BX36" s="12">
        <v>8414.2857142800003</v>
      </c>
      <c r="BY36" s="10">
        <f t="shared" si="20"/>
        <v>1</v>
      </c>
      <c r="BZ36" s="12">
        <f t="shared" si="21"/>
        <v>8414.2857142800003</v>
      </c>
      <c r="CA36" s="11" t="e">
        <f t="shared" si="22"/>
        <v>#DIV/0!</v>
      </c>
      <c r="CC36" s="14"/>
      <c r="CD36" s="13" t="s">
        <v>5</v>
      </c>
      <c r="CE36" s="10">
        <v>2</v>
      </c>
      <c r="CF36" s="12">
        <v>8480</v>
      </c>
      <c r="CG36" s="10">
        <f t="shared" si="23"/>
        <v>1</v>
      </c>
      <c r="CH36" s="12">
        <f t="shared" si="24"/>
        <v>65.71428571999968</v>
      </c>
      <c r="CI36" s="11">
        <f t="shared" si="25"/>
        <v>7.8098471993261484E-3</v>
      </c>
      <c r="CK36" s="14"/>
      <c r="CL36" s="13"/>
      <c r="CN36" s="12"/>
      <c r="CP36" s="12"/>
      <c r="CQ36" s="11"/>
      <c r="CS36" s="14"/>
      <c r="CT36" s="13"/>
      <c r="CV36" s="12"/>
      <c r="CX36" s="12"/>
      <c r="CY36" s="11"/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 t="s">
        <v>4</v>
      </c>
      <c r="BG37" s="10">
        <v>3</v>
      </c>
      <c r="BH37" s="12">
        <v>102200</v>
      </c>
      <c r="BI37" s="10">
        <f t="shared" si="14"/>
        <v>0</v>
      </c>
      <c r="BJ37" s="12">
        <f t="shared" si="15"/>
        <v>16574.285714290003</v>
      </c>
      <c r="BK37" s="11">
        <f t="shared" si="16"/>
        <v>0.19356668557515405</v>
      </c>
      <c r="BM37" s="14"/>
      <c r="BN37" s="13" t="s">
        <v>4</v>
      </c>
      <c r="BO37" s="10">
        <v>0</v>
      </c>
      <c r="BP37" s="12">
        <v>0</v>
      </c>
      <c r="BQ37" s="10">
        <f t="shared" si="17"/>
        <v>-3</v>
      </c>
      <c r="BR37" s="12">
        <f t="shared" si="18"/>
        <v>-102200</v>
      </c>
      <c r="BS37" s="11">
        <f t="shared" si="19"/>
        <v>-1</v>
      </c>
      <c r="BU37" s="14"/>
      <c r="BV37" s="13" t="s">
        <v>4</v>
      </c>
      <c r="BW37" s="10">
        <v>1</v>
      </c>
      <c r="BX37" s="12">
        <v>26147.619047609998</v>
      </c>
      <c r="BY37" s="10">
        <f t="shared" ref="BY37:BY65" si="26">BW37-BO37</f>
        <v>1</v>
      </c>
      <c r="BZ37" s="12">
        <f t="shared" si="21"/>
        <v>26147.619047609998</v>
      </c>
      <c r="CA37" s="11" t="e">
        <f t="shared" si="22"/>
        <v>#DIV/0!</v>
      </c>
      <c r="CC37" s="14"/>
      <c r="CD37" s="13" t="s">
        <v>4</v>
      </c>
      <c r="CE37" s="10">
        <v>3</v>
      </c>
      <c r="CF37" s="12">
        <v>84454.285714270009</v>
      </c>
      <c r="CG37" s="10">
        <f t="shared" si="23"/>
        <v>2</v>
      </c>
      <c r="CH37" s="12">
        <f t="shared" si="24"/>
        <v>58306.666666660007</v>
      </c>
      <c r="CI37" s="11">
        <f t="shared" si="25"/>
        <v>2.2299034784197485</v>
      </c>
      <c r="CK37" s="14"/>
      <c r="CL37" s="13"/>
      <c r="CN37" s="12"/>
      <c r="CP37" s="12"/>
      <c r="CQ37" s="11"/>
      <c r="CS37" s="14"/>
      <c r="CT37" s="13"/>
      <c r="CV37" s="12"/>
      <c r="CX37" s="12"/>
      <c r="CY37" s="11"/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 t="s">
        <v>3</v>
      </c>
      <c r="BG38" s="10">
        <v>29</v>
      </c>
      <c r="BH38" s="12">
        <v>468285.71428567002</v>
      </c>
      <c r="BI38" s="10">
        <f t="shared" si="14"/>
        <v>13</v>
      </c>
      <c r="BJ38" s="12">
        <f t="shared" si="15"/>
        <v>181904.76190476003</v>
      </c>
      <c r="BK38" s="11">
        <f t="shared" si="16"/>
        <v>0.63518456933829837</v>
      </c>
      <c r="BM38" s="14"/>
      <c r="BN38" s="13" t="s">
        <v>3</v>
      </c>
      <c r="BO38" s="10">
        <v>10</v>
      </c>
      <c r="BP38" s="12">
        <v>161238.09523807</v>
      </c>
      <c r="BQ38" s="10">
        <f t="shared" si="17"/>
        <v>-19</v>
      </c>
      <c r="BR38" s="12">
        <f t="shared" si="18"/>
        <v>-307047.61904760002</v>
      </c>
      <c r="BS38" s="11">
        <f t="shared" si="19"/>
        <v>-0.65568436038236833</v>
      </c>
      <c r="BU38" s="14"/>
      <c r="BV38" s="13" t="s">
        <v>3</v>
      </c>
      <c r="BW38" s="10">
        <v>9</v>
      </c>
      <c r="BX38" s="12">
        <v>154190.47619044999</v>
      </c>
      <c r="BY38" s="10">
        <f t="shared" si="26"/>
        <v>-1</v>
      </c>
      <c r="BZ38" s="12">
        <f t="shared" si="21"/>
        <v>-7047.6190476200136</v>
      </c>
      <c r="CA38" s="11">
        <f t="shared" si="22"/>
        <v>-4.3709391612534981E-2</v>
      </c>
      <c r="CC38" s="14"/>
      <c r="CD38" s="13" t="s">
        <v>3</v>
      </c>
      <c r="CE38" s="10">
        <v>11</v>
      </c>
      <c r="CF38" s="12">
        <v>180285.71428568001</v>
      </c>
      <c r="CG38" s="10">
        <f t="shared" si="23"/>
        <v>2</v>
      </c>
      <c r="CH38" s="12">
        <f t="shared" si="24"/>
        <v>26095.238095230015</v>
      </c>
      <c r="CI38" s="11">
        <f t="shared" si="25"/>
        <v>0.16924027177267556</v>
      </c>
      <c r="CK38" s="14"/>
      <c r="CL38" s="13"/>
      <c r="CN38" s="12"/>
      <c r="CP38" s="12"/>
      <c r="CQ38" s="11"/>
      <c r="CS38" s="14"/>
      <c r="CT38" s="13"/>
      <c r="CV38" s="12"/>
      <c r="CX38" s="12"/>
      <c r="CY38" s="11"/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 t="s">
        <v>2</v>
      </c>
      <c r="BG39" s="10">
        <v>58</v>
      </c>
      <c r="BH39" s="12">
        <v>1982881.9047618499</v>
      </c>
      <c r="BI39" s="10">
        <f t="shared" si="14"/>
        <v>19</v>
      </c>
      <c r="BJ39" s="12">
        <f t="shared" si="15"/>
        <v>538500.95238094986</v>
      </c>
      <c r="BK39" s="11">
        <f t="shared" si="16"/>
        <v>0.37282473954900291</v>
      </c>
      <c r="BM39" s="14"/>
      <c r="BN39" s="13" t="s">
        <v>2</v>
      </c>
      <c r="BO39" s="10">
        <v>7</v>
      </c>
      <c r="BP39" s="12">
        <v>260285.7142857</v>
      </c>
      <c r="BQ39" s="10">
        <f t="shared" si="17"/>
        <v>-51</v>
      </c>
      <c r="BR39" s="12">
        <f t="shared" si="18"/>
        <v>-1722596.1904761498</v>
      </c>
      <c r="BS39" s="11">
        <f t="shared" si="19"/>
        <v>-0.86873362772607421</v>
      </c>
      <c r="BU39" s="14"/>
      <c r="BV39" s="13" t="s">
        <v>2</v>
      </c>
      <c r="BW39" s="10">
        <v>11</v>
      </c>
      <c r="BX39" s="12">
        <v>379739.04761903</v>
      </c>
      <c r="BY39" s="10">
        <f t="shared" si="26"/>
        <v>4</v>
      </c>
      <c r="BZ39" s="12">
        <f t="shared" si="21"/>
        <v>119453.33333333</v>
      </c>
      <c r="CA39" s="11">
        <f t="shared" si="22"/>
        <v>0.45893157702160037</v>
      </c>
      <c r="CC39" s="14"/>
      <c r="CD39" s="13" t="s">
        <v>2</v>
      </c>
      <c r="CE39" s="10">
        <v>15</v>
      </c>
      <c r="CF39" s="12">
        <v>454761.90476189001</v>
      </c>
      <c r="CG39" s="10">
        <f t="shared" si="23"/>
        <v>4</v>
      </c>
      <c r="CH39" s="12">
        <f t="shared" si="24"/>
        <v>75022.857142860012</v>
      </c>
      <c r="CI39" s="11">
        <f t="shared" si="25"/>
        <v>0.19756424211114065</v>
      </c>
      <c r="CK39" s="14"/>
      <c r="CL39" s="13"/>
      <c r="CN39" s="12"/>
      <c r="CP39" s="12"/>
      <c r="CQ39" s="11"/>
      <c r="CS39" s="14"/>
      <c r="CT39" s="13"/>
      <c r="CV39" s="12"/>
      <c r="CX39" s="12"/>
      <c r="CY39" s="11"/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 t="s">
        <v>12</v>
      </c>
      <c r="BF40" s="9"/>
      <c r="BG40" s="8">
        <v>709</v>
      </c>
      <c r="BH40" s="7">
        <v>3770060.9523795899</v>
      </c>
      <c r="BI40" s="27">
        <f t="shared" si="14"/>
        <v>303</v>
      </c>
      <c r="BJ40" s="28">
        <f t="shared" si="15"/>
        <v>1025897.6190472697</v>
      </c>
      <c r="BK40" s="29">
        <f t="shared" si="16"/>
        <v>0.37384714189059998</v>
      </c>
      <c r="BM40" s="9" t="s">
        <v>12</v>
      </c>
      <c r="BN40" s="9"/>
      <c r="BO40" s="8">
        <v>250</v>
      </c>
      <c r="BP40" s="7">
        <v>760320.95238043007</v>
      </c>
      <c r="BQ40" s="27">
        <f t="shared" si="17"/>
        <v>-459</v>
      </c>
      <c r="BR40" s="28">
        <f t="shared" si="18"/>
        <v>-3009739.9999991599</v>
      </c>
      <c r="BS40" s="29">
        <f t="shared" si="19"/>
        <v>-0.79832661540908778</v>
      </c>
      <c r="BU40" s="9" t="s">
        <v>12</v>
      </c>
      <c r="BV40" s="9"/>
      <c r="BW40" s="8">
        <v>249</v>
      </c>
      <c r="BX40" s="7">
        <v>1201897.14285643</v>
      </c>
      <c r="BY40" s="27">
        <f t="shared" si="26"/>
        <v>-1</v>
      </c>
      <c r="BZ40" s="28">
        <f t="shared" si="21"/>
        <v>441576.19047599996</v>
      </c>
      <c r="CA40" s="29">
        <f t="shared" si="22"/>
        <v>0.5807760381895346</v>
      </c>
      <c r="CC40" s="9" t="s">
        <v>12</v>
      </c>
      <c r="CD40" s="9"/>
      <c r="CE40" s="8">
        <v>227</v>
      </c>
      <c r="CF40" s="7">
        <v>1116997.1428565499</v>
      </c>
      <c r="CG40" s="27">
        <f t="shared" si="23"/>
        <v>-22</v>
      </c>
      <c r="CH40" s="28">
        <f t="shared" si="24"/>
        <v>-84899.999999880092</v>
      </c>
      <c r="CI40" s="29">
        <f t="shared" si="25"/>
        <v>-7.0638324173154007E-2</v>
      </c>
      <c r="CK40" s="9"/>
      <c r="CL40" s="9"/>
      <c r="CM40" s="8"/>
      <c r="CN40" s="7"/>
      <c r="CO40" s="27"/>
      <c r="CP40" s="28"/>
      <c r="CQ40" s="29"/>
      <c r="CS40" s="9"/>
      <c r="CT40" s="9"/>
      <c r="CU40" s="8"/>
      <c r="CV40" s="7"/>
      <c r="CW40" s="27"/>
      <c r="CX40" s="28"/>
      <c r="CY40" s="29"/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3619</v>
      </c>
      <c r="BH41" s="35"/>
      <c r="BI41" s="10">
        <f t="shared" si="14"/>
        <v>1946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1597</v>
      </c>
      <c r="BP41" s="35"/>
      <c r="BQ41" s="10">
        <f t="shared" si="17"/>
        <v>-2022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1054</v>
      </c>
      <c r="BX41" s="33"/>
      <c r="BY41" s="10">
        <f t="shared" si="26"/>
        <v>-543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>
        <v>1285</v>
      </c>
      <c r="CF41" s="33"/>
      <c r="CG41" s="10">
        <f t="shared" si="23"/>
        <v>231</v>
      </c>
      <c r="CH41" s="12">
        <f t="shared" si="24"/>
        <v>0</v>
      </c>
      <c r="CI41" s="11" t="e">
        <f t="shared" si="25"/>
        <v>#DIV/0!</v>
      </c>
      <c r="CK41" s="14"/>
      <c r="CL41" s="32"/>
      <c r="CM41" s="15"/>
      <c r="CN41" s="33"/>
      <c r="CO41" s="10"/>
      <c r="CP41" s="12"/>
      <c r="CQ41" s="11"/>
      <c r="CS41" s="14"/>
      <c r="CT41" s="32"/>
      <c r="CU41" s="15"/>
      <c r="CV41" s="33"/>
      <c r="CW41" s="10"/>
      <c r="CX41" s="12"/>
      <c r="CY41" s="11"/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7</v>
      </c>
      <c r="AZ42" s="35"/>
      <c r="BA42" s="10">
        <f t="shared" si="11"/>
        <v>-2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10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9</v>
      </c>
      <c r="BP42" s="35"/>
      <c r="BQ42" s="10">
        <f t="shared" si="17"/>
        <v>-1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5</v>
      </c>
      <c r="BX42" s="33"/>
      <c r="BY42" s="10">
        <f t="shared" si="26"/>
        <v>-4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-5</v>
      </c>
      <c r="CH42" s="12">
        <f t="shared" si="24"/>
        <v>0</v>
      </c>
      <c r="CI42" s="11" t="e">
        <f t="shared" si="25"/>
        <v>#DIV/0!</v>
      </c>
      <c r="CK42" s="14"/>
      <c r="CL42" s="32"/>
      <c r="CM42" s="15"/>
      <c r="CN42" s="33"/>
      <c r="CO42" s="10"/>
      <c r="CP42" s="12"/>
      <c r="CQ42" s="11"/>
      <c r="CS42" s="14"/>
      <c r="CT42" s="32"/>
      <c r="CU42" s="15"/>
      <c r="CV42" s="33"/>
      <c r="CW42" s="10"/>
      <c r="CX42" s="12"/>
      <c r="CY42" s="11"/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 t="s">
        <v>10</v>
      </c>
      <c r="BG43" s="10">
        <v>247</v>
      </c>
      <c r="BH43" s="12">
        <v>220738.09523733999</v>
      </c>
      <c r="BI43" s="10">
        <f t="shared" si="14"/>
        <v>22</v>
      </c>
      <c r="BJ43" s="12">
        <f t="shared" si="15"/>
        <v>34.285714280151296</v>
      </c>
      <c r="BK43" s="11">
        <f t="shared" si="16"/>
        <v>1.5534717934521659E-4</v>
      </c>
      <c r="BM43" s="14"/>
      <c r="BN43" s="13" t="s">
        <v>10</v>
      </c>
      <c r="BO43" s="10">
        <v>133</v>
      </c>
      <c r="BP43" s="12">
        <v>111602.85714242996</v>
      </c>
      <c r="BQ43" s="10">
        <f t="shared" si="17"/>
        <v>-114</v>
      </c>
      <c r="BR43" s="12">
        <f t="shared" si="18"/>
        <v>-109135.23809491003</v>
      </c>
      <c r="BS43" s="11">
        <f t="shared" si="19"/>
        <v>-0.4944105274513973</v>
      </c>
      <c r="BU43" s="14"/>
      <c r="BV43" s="13" t="s">
        <v>10</v>
      </c>
      <c r="BW43" s="10">
        <v>78</v>
      </c>
      <c r="BX43" s="12">
        <v>82412.380952079999</v>
      </c>
      <c r="BY43" s="10">
        <f t="shared" si="26"/>
        <v>-55</v>
      </c>
      <c r="BZ43" s="12">
        <f t="shared" si="21"/>
        <v>-29190.47619034996</v>
      </c>
      <c r="CA43" s="11">
        <f t="shared" si="22"/>
        <v>-0.26155671044421785</v>
      </c>
      <c r="CC43" s="14"/>
      <c r="CD43" s="13" t="s">
        <v>10</v>
      </c>
      <c r="CE43" s="10">
        <v>110</v>
      </c>
      <c r="CF43" s="12">
        <v>85552.380951930012</v>
      </c>
      <c r="CG43" s="10">
        <f t="shared" si="23"/>
        <v>32</v>
      </c>
      <c r="CH43" s="12">
        <f t="shared" si="24"/>
        <v>3139.9999998500134</v>
      </c>
      <c r="CI43" s="11">
        <f t="shared" si="25"/>
        <v>3.8101071265928071E-2</v>
      </c>
      <c r="CK43" s="14"/>
      <c r="CL43" s="13"/>
      <c r="CN43" s="12"/>
      <c r="CP43" s="12"/>
      <c r="CQ43" s="11"/>
      <c r="CS43" s="14"/>
      <c r="CT43" s="13"/>
      <c r="CV43" s="12"/>
      <c r="CX43" s="12"/>
      <c r="CY43" s="11"/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 t="s">
        <v>9</v>
      </c>
      <c r="BG44" s="10">
        <v>167</v>
      </c>
      <c r="BH44" s="12">
        <v>158117.14285702998</v>
      </c>
      <c r="BI44" s="10">
        <f t="shared" si="14"/>
        <v>53</v>
      </c>
      <c r="BJ44" s="12">
        <f t="shared" si="15"/>
        <v>27219.047619049961</v>
      </c>
      <c r="BK44" s="11">
        <f t="shared" si="16"/>
        <v>0.2079407463459588</v>
      </c>
      <c r="BM44" s="14"/>
      <c r="BN44" s="13" t="s">
        <v>9</v>
      </c>
      <c r="BO44" s="10">
        <v>82</v>
      </c>
      <c r="BP44" s="12">
        <v>76159.047618940007</v>
      </c>
      <c r="BQ44" s="10">
        <f t="shared" si="17"/>
        <v>-85</v>
      </c>
      <c r="BR44" s="12">
        <f t="shared" si="18"/>
        <v>-81958.095238089969</v>
      </c>
      <c r="BS44" s="11">
        <f t="shared" si="19"/>
        <v>-0.51833782066373879</v>
      </c>
      <c r="BU44" s="14"/>
      <c r="BV44" s="13" t="s">
        <v>9</v>
      </c>
      <c r="BW44" s="10">
        <v>85</v>
      </c>
      <c r="BX44" s="12">
        <v>90152.380952249994</v>
      </c>
      <c r="BY44" s="10">
        <f t="shared" si="26"/>
        <v>3</v>
      </c>
      <c r="BZ44" s="12">
        <f t="shared" si="21"/>
        <v>13993.333333309987</v>
      </c>
      <c r="CA44" s="11">
        <f t="shared" si="22"/>
        <v>0.18373829204542183</v>
      </c>
      <c r="CC44" s="14"/>
      <c r="CD44" s="13" t="s">
        <v>9</v>
      </c>
      <c r="CE44" s="10">
        <v>88</v>
      </c>
      <c r="CF44" s="12">
        <v>88811.428571319979</v>
      </c>
      <c r="CG44" s="10">
        <f t="shared" si="23"/>
        <v>3</v>
      </c>
      <c r="CH44" s="12">
        <f t="shared" si="24"/>
        <v>-1340.9523809300154</v>
      </c>
      <c r="CI44" s="11">
        <f t="shared" si="25"/>
        <v>-1.4874286921387718E-2</v>
      </c>
      <c r="CK44" s="14"/>
      <c r="CL44" s="13"/>
      <c r="CN44" s="12"/>
      <c r="CP44" s="12"/>
      <c r="CQ44" s="11"/>
      <c r="CS44" s="14"/>
      <c r="CT44" s="13"/>
      <c r="CV44" s="12"/>
      <c r="CX44" s="12"/>
      <c r="CY44" s="11"/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 t="s">
        <v>8</v>
      </c>
      <c r="BG45" s="10">
        <v>56</v>
      </c>
      <c r="BH45" s="12">
        <v>353478.09523808002</v>
      </c>
      <c r="BI45" s="10">
        <f t="shared" si="14"/>
        <v>22</v>
      </c>
      <c r="BJ45" s="12">
        <f t="shared" si="15"/>
        <v>132647.61904762004</v>
      </c>
      <c r="BK45" s="11">
        <f t="shared" si="16"/>
        <v>0.60067623516427715</v>
      </c>
      <c r="BM45" s="14"/>
      <c r="BN45" s="13" t="s">
        <v>8</v>
      </c>
      <c r="BO45" s="10">
        <v>16</v>
      </c>
      <c r="BP45" s="12">
        <v>104990.47619047001</v>
      </c>
      <c r="BQ45" s="10">
        <f t="shared" si="17"/>
        <v>-40</v>
      </c>
      <c r="BR45" s="12">
        <f t="shared" si="18"/>
        <v>-248487.61904761</v>
      </c>
      <c r="BS45" s="11">
        <f t="shared" si="19"/>
        <v>-0.70297883346984991</v>
      </c>
      <c r="BU45" s="14"/>
      <c r="BV45" s="13" t="s">
        <v>8</v>
      </c>
      <c r="BW45" s="10">
        <v>14</v>
      </c>
      <c r="BX45" s="12">
        <v>92723.80952380001</v>
      </c>
      <c r="BY45" s="10">
        <f t="shared" si="26"/>
        <v>-2</v>
      </c>
      <c r="BZ45" s="12">
        <f t="shared" si="21"/>
        <v>-12266.666666670004</v>
      </c>
      <c r="CA45" s="11">
        <f t="shared" si="22"/>
        <v>-0.11683599419452342</v>
      </c>
      <c r="CC45" s="14"/>
      <c r="CD45" s="13" t="s">
        <v>8</v>
      </c>
      <c r="CE45" s="10">
        <v>21</v>
      </c>
      <c r="CF45" s="12">
        <v>139443.80952379998</v>
      </c>
      <c r="CG45" s="10">
        <f t="shared" si="23"/>
        <v>7</v>
      </c>
      <c r="CH45" s="12">
        <f t="shared" si="24"/>
        <v>46719.999999999971</v>
      </c>
      <c r="CI45" s="11">
        <f t="shared" si="25"/>
        <v>0.50386195562864633</v>
      </c>
      <c r="CK45" s="14"/>
      <c r="CL45" s="13"/>
      <c r="CN45" s="12"/>
      <c r="CP45" s="12"/>
      <c r="CQ45" s="11"/>
      <c r="CS45" s="14"/>
      <c r="CT45" s="13"/>
      <c r="CV45" s="12"/>
      <c r="CX45" s="12"/>
      <c r="CY45" s="11"/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 t="s">
        <v>7</v>
      </c>
      <c r="BG46" s="10">
        <v>38</v>
      </c>
      <c r="BH46" s="12">
        <v>475904.76190470997</v>
      </c>
      <c r="BI46" s="10">
        <f t="shared" si="14"/>
        <v>14</v>
      </c>
      <c r="BJ46" s="12">
        <f t="shared" si="15"/>
        <v>206761.90476190997</v>
      </c>
      <c r="BK46" s="11">
        <f t="shared" si="16"/>
        <v>0.76822363765057167</v>
      </c>
      <c r="BM46" s="14"/>
      <c r="BN46" s="13" t="s">
        <v>7</v>
      </c>
      <c r="BO46" s="10">
        <v>8</v>
      </c>
      <c r="BP46" s="12">
        <v>92571.4285714</v>
      </c>
      <c r="BQ46" s="10">
        <f t="shared" si="17"/>
        <v>-30</v>
      </c>
      <c r="BR46" s="12">
        <f t="shared" si="18"/>
        <v>-383333.33333330997</v>
      </c>
      <c r="BS46" s="11">
        <f t="shared" si="19"/>
        <v>-0.80548328997402319</v>
      </c>
      <c r="BU46" s="14"/>
      <c r="BV46" s="13" t="s">
        <v>7</v>
      </c>
      <c r="BW46" s="10">
        <v>10</v>
      </c>
      <c r="BX46" s="12">
        <v>111428.57142854</v>
      </c>
      <c r="BY46" s="10">
        <f t="shared" si="26"/>
        <v>2</v>
      </c>
      <c r="BZ46" s="12">
        <f t="shared" si="21"/>
        <v>18857.142857140003</v>
      </c>
      <c r="CA46" s="11">
        <f t="shared" si="22"/>
        <v>0.20370370370373575</v>
      </c>
      <c r="CC46" s="14"/>
      <c r="CD46" s="13" t="s">
        <v>7</v>
      </c>
      <c r="CE46" s="10">
        <v>16</v>
      </c>
      <c r="CF46" s="12">
        <v>186095.23809520004</v>
      </c>
      <c r="CG46" s="10">
        <f t="shared" si="23"/>
        <v>6</v>
      </c>
      <c r="CH46" s="12">
        <f t="shared" si="24"/>
        <v>74666.666666660036</v>
      </c>
      <c r="CI46" s="11">
        <f t="shared" si="25"/>
        <v>0.6700854700855996</v>
      </c>
      <c r="CK46" s="14"/>
      <c r="CL46" s="13"/>
      <c r="CN46" s="12"/>
      <c r="CP46" s="12"/>
      <c r="CQ46" s="11"/>
      <c r="CS46" s="14"/>
      <c r="CT46" s="13"/>
      <c r="CV46" s="12"/>
      <c r="CX46" s="12"/>
      <c r="CY46" s="11"/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 t="s">
        <v>6</v>
      </c>
      <c r="BG47" s="10">
        <v>1</v>
      </c>
      <c r="BH47" s="12">
        <v>8857.1428571399993</v>
      </c>
      <c r="BI47" s="10">
        <f t="shared" si="14"/>
        <v>-2</v>
      </c>
      <c r="BJ47" s="12">
        <f t="shared" si="15"/>
        <v>-17714.285714280002</v>
      </c>
      <c r="BK47" s="11">
        <f t="shared" si="16"/>
        <v>-0.66666666666666674</v>
      </c>
      <c r="BM47" s="14"/>
      <c r="BN47" s="13" t="s">
        <v>6</v>
      </c>
      <c r="BP47" s="12"/>
      <c r="BQ47" s="10">
        <f t="shared" si="17"/>
        <v>-1</v>
      </c>
      <c r="BR47" s="12">
        <f t="shared" si="18"/>
        <v>-8857.1428571399993</v>
      </c>
      <c r="BS47" s="11">
        <f t="shared" si="19"/>
        <v>-1</v>
      </c>
      <c r="BU47" s="14"/>
      <c r="BV47" s="13" t="s">
        <v>6</v>
      </c>
      <c r="BX47" s="12"/>
      <c r="BY47" s="10">
        <f t="shared" si="26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/>
      <c r="CN47" s="12"/>
      <c r="CP47" s="12"/>
      <c r="CQ47" s="11"/>
      <c r="CS47" s="14"/>
      <c r="CT47" s="13"/>
      <c r="CV47" s="12"/>
      <c r="CX47" s="12"/>
      <c r="CY47" s="11"/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 t="s">
        <v>5</v>
      </c>
      <c r="BG48" s="10">
        <v>2</v>
      </c>
      <c r="BH48" s="12">
        <v>8080</v>
      </c>
      <c r="BI48" s="10">
        <f t="shared" si="14"/>
        <v>-2</v>
      </c>
      <c r="BJ48" s="12">
        <f t="shared" si="15"/>
        <v>-12180</v>
      </c>
      <c r="BK48" s="11">
        <f t="shared" si="16"/>
        <v>-0.60118460019743336</v>
      </c>
      <c r="BM48" s="14"/>
      <c r="BN48" s="13" t="s">
        <v>5</v>
      </c>
      <c r="BO48" s="10">
        <v>2</v>
      </c>
      <c r="BP48" s="12">
        <v>9780</v>
      </c>
      <c r="BQ48" s="10">
        <f t="shared" si="17"/>
        <v>0</v>
      </c>
      <c r="BR48" s="12">
        <f t="shared" si="18"/>
        <v>1700</v>
      </c>
      <c r="BS48" s="11">
        <f t="shared" si="19"/>
        <v>0.21039603960396039</v>
      </c>
      <c r="BU48" s="14"/>
      <c r="BV48" s="13" t="s">
        <v>5</v>
      </c>
      <c r="BW48" s="10">
        <v>1</v>
      </c>
      <c r="BX48" s="12">
        <v>6290</v>
      </c>
      <c r="BY48" s="10">
        <f t="shared" si="26"/>
        <v>-1</v>
      </c>
      <c r="BZ48" s="12">
        <f t="shared" si="21"/>
        <v>-3490</v>
      </c>
      <c r="CA48" s="11">
        <f t="shared" si="22"/>
        <v>-0.35685071574642124</v>
      </c>
      <c r="CC48" s="14"/>
      <c r="CD48" s="13" t="s">
        <v>5</v>
      </c>
      <c r="CE48" s="10">
        <v>2</v>
      </c>
      <c r="CF48" s="12">
        <v>15380</v>
      </c>
      <c r="CG48" s="10">
        <f t="shared" si="23"/>
        <v>1</v>
      </c>
      <c r="CH48" s="12">
        <f t="shared" si="24"/>
        <v>9090</v>
      </c>
      <c r="CI48" s="11">
        <f t="shared" si="25"/>
        <v>1.4451510333863276</v>
      </c>
      <c r="CK48" s="14"/>
      <c r="CL48" s="13"/>
      <c r="CN48" s="12"/>
      <c r="CP48" s="12"/>
      <c r="CQ48" s="11"/>
      <c r="CS48" s="14"/>
      <c r="CT48" s="13"/>
      <c r="CV48" s="12"/>
      <c r="CX48" s="12"/>
      <c r="CY48" s="11"/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 t="s">
        <v>4</v>
      </c>
      <c r="BG49" s="10">
        <v>4</v>
      </c>
      <c r="BH49" s="12">
        <v>163142.85714283999</v>
      </c>
      <c r="BI49" s="10">
        <f t="shared" si="14"/>
        <v>3</v>
      </c>
      <c r="BJ49" s="12">
        <f t="shared" si="15"/>
        <v>128476.19047618</v>
      </c>
      <c r="BK49" s="11">
        <f t="shared" si="16"/>
        <v>3.7060439560443665</v>
      </c>
      <c r="BM49" s="14"/>
      <c r="BN49" s="13" t="s">
        <v>4</v>
      </c>
      <c r="BO49" s="10">
        <v>3</v>
      </c>
      <c r="BP49" s="12">
        <v>105428.57142856001</v>
      </c>
      <c r="BQ49" s="10">
        <f t="shared" si="17"/>
        <v>-1</v>
      </c>
      <c r="BR49" s="12">
        <f t="shared" si="18"/>
        <v>-57714.285714279977</v>
      </c>
      <c r="BS49" s="11">
        <f t="shared" si="19"/>
        <v>-0.35376532399299676</v>
      </c>
      <c r="BU49" s="14"/>
      <c r="BV49" s="13" t="s">
        <v>4</v>
      </c>
      <c r="BW49" s="10">
        <v>2</v>
      </c>
      <c r="BX49" s="12">
        <v>52168.571428559997</v>
      </c>
      <c r="BY49" s="10">
        <f t="shared" si="26"/>
        <v>-1</v>
      </c>
      <c r="BZ49" s="12">
        <f t="shared" si="21"/>
        <v>-53260.000000000015</v>
      </c>
      <c r="CA49" s="11">
        <f t="shared" si="22"/>
        <v>-0.50517615176157249</v>
      </c>
      <c r="CC49" s="14"/>
      <c r="CD49" s="13" t="s">
        <v>4</v>
      </c>
      <c r="CE49" s="10">
        <v>8</v>
      </c>
      <c r="CF49" s="12">
        <v>227482.85714284002</v>
      </c>
      <c r="CG49" s="10">
        <f t="shared" si="23"/>
        <v>6</v>
      </c>
      <c r="CH49" s="12">
        <f t="shared" si="24"/>
        <v>175314.28571428003</v>
      </c>
      <c r="CI49" s="11">
        <f t="shared" si="25"/>
        <v>3.3605345309168881</v>
      </c>
      <c r="CK49" s="14"/>
      <c r="CL49" s="13"/>
      <c r="CN49" s="12"/>
      <c r="CP49" s="12"/>
      <c r="CQ49" s="11"/>
      <c r="CS49" s="14"/>
      <c r="CT49" s="13"/>
      <c r="CV49" s="12"/>
      <c r="CX49" s="12"/>
      <c r="CY49" s="11"/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 t="s">
        <v>3</v>
      </c>
      <c r="BG50" s="10">
        <v>25</v>
      </c>
      <c r="BH50" s="12">
        <v>401333.33333329001</v>
      </c>
      <c r="BI50" s="10">
        <f t="shared" si="14"/>
        <v>7</v>
      </c>
      <c r="BJ50" s="12">
        <f t="shared" si="15"/>
        <v>20000.000000000058</v>
      </c>
      <c r="BK50" s="11">
        <f t="shared" si="16"/>
        <v>5.2447552447558568E-2</v>
      </c>
      <c r="BM50" s="14"/>
      <c r="BN50" s="13" t="s">
        <v>3</v>
      </c>
      <c r="BO50" s="10">
        <v>16</v>
      </c>
      <c r="BP50" s="12">
        <v>252666.66666663002</v>
      </c>
      <c r="BQ50" s="10">
        <f t="shared" si="17"/>
        <v>-9</v>
      </c>
      <c r="BR50" s="12">
        <f t="shared" si="18"/>
        <v>-148666.66666665999</v>
      </c>
      <c r="BS50" s="11">
        <f t="shared" si="19"/>
        <v>-0.370431893687731</v>
      </c>
      <c r="BU50" s="14"/>
      <c r="BV50" s="13" t="s">
        <v>3</v>
      </c>
      <c r="BW50" s="10">
        <v>10</v>
      </c>
      <c r="BX50" s="12">
        <v>166761.90476188</v>
      </c>
      <c r="BY50" s="10">
        <f t="shared" si="26"/>
        <v>-6</v>
      </c>
      <c r="BZ50" s="12">
        <f t="shared" si="21"/>
        <v>-85904.761904750019</v>
      </c>
      <c r="CA50" s="11">
        <f t="shared" si="22"/>
        <v>-0.33999246136449529</v>
      </c>
      <c r="CC50" s="14"/>
      <c r="CD50" s="13" t="s">
        <v>3</v>
      </c>
      <c r="CE50" s="10">
        <v>14</v>
      </c>
      <c r="CF50" s="12">
        <v>210761.90476186998</v>
      </c>
      <c r="CG50" s="10">
        <f t="shared" si="23"/>
        <v>4</v>
      </c>
      <c r="CH50" s="12">
        <f t="shared" si="24"/>
        <v>43999.999999989988</v>
      </c>
      <c r="CI50" s="11">
        <f t="shared" si="25"/>
        <v>0.26384922901197227</v>
      </c>
      <c r="CK50" s="14"/>
      <c r="CL50" s="13"/>
      <c r="CN50" s="12"/>
      <c r="CP50" s="12"/>
      <c r="CQ50" s="11"/>
      <c r="CS50" s="14"/>
      <c r="CT50" s="13"/>
      <c r="CV50" s="12"/>
      <c r="CX50" s="12"/>
      <c r="CY50" s="11"/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 t="s">
        <v>2</v>
      </c>
      <c r="BG51" s="10">
        <v>52</v>
      </c>
      <c r="BH51" s="12">
        <v>1619809.5238094702</v>
      </c>
      <c r="BI51" s="10">
        <f t="shared" si="14"/>
        <v>-21</v>
      </c>
      <c r="BJ51" s="12">
        <f t="shared" si="15"/>
        <v>-1016099.9999999995</v>
      </c>
      <c r="BK51" s="11">
        <f t="shared" si="16"/>
        <v>-0.38548364077819758</v>
      </c>
      <c r="BM51" s="14"/>
      <c r="BN51" s="13" t="s">
        <v>2</v>
      </c>
      <c r="BO51" s="10">
        <v>24</v>
      </c>
      <c r="BP51" s="12">
        <v>751047.61904759996</v>
      </c>
      <c r="BQ51" s="10">
        <f t="shared" si="17"/>
        <v>-28</v>
      </c>
      <c r="BR51" s="12">
        <f t="shared" si="18"/>
        <v>-868761.90476187028</v>
      </c>
      <c r="BS51" s="11">
        <f t="shared" si="19"/>
        <v>-0.53633584195672268</v>
      </c>
      <c r="BU51" s="14"/>
      <c r="BV51" s="13" t="s">
        <v>2</v>
      </c>
      <c r="BW51" s="10">
        <v>12</v>
      </c>
      <c r="BX51" s="12">
        <v>370285.7142857</v>
      </c>
      <c r="BY51" s="10">
        <f t="shared" si="26"/>
        <v>-12</v>
      </c>
      <c r="BZ51" s="12">
        <f t="shared" si="21"/>
        <v>-380761.90476189996</v>
      </c>
      <c r="CA51" s="11">
        <f t="shared" si="22"/>
        <v>-0.50697438498605774</v>
      </c>
      <c r="CC51" s="14"/>
      <c r="CD51" s="13" t="s">
        <v>2</v>
      </c>
      <c r="CE51" s="10">
        <v>32</v>
      </c>
      <c r="CF51" s="12">
        <v>1105523.8095237699</v>
      </c>
      <c r="CG51" s="10">
        <f t="shared" si="23"/>
        <v>20</v>
      </c>
      <c r="CH51" s="12">
        <f t="shared" si="24"/>
        <v>735238.09523806989</v>
      </c>
      <c r="CI51" s="11">
        <f t="shared" si="25"/>
        <v>1.9855967078189383</v>
      </c>
      <c r="CK51" s="14"/>
      <c r="CL51" s="13"/>
      <c r="CN51" s="12"/>
      <c r="CP51" s="12"/>
      <c r="CQ51" s="11"/>
      <c r="CS51" s="14"/>
      <c r="CT51" s="13"/>
      <c r="CV51" s="12"/>
      <c r="CX51" s="12"/>
      <c r="CY51" s="11"/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 t="s">
        <v>11</v>
      </c>
      <c r="BF52" s="9"/>
      <c r="BG52" s="8">
        <v>592</v>
      </c>
      <c r="BH52" s="7">
        <v>3409460.9523799</v>
      </c>
      <c r="BI52" s="27">
        <f t="shared" si="14"/>
        <v>96</v>
      </c>
      <c r="BJ52" s="28">
        <f t="shared" si="15"/>
        <v>-530855.23809523974</v>
      </c>
      <c r="BK52" s="29">
        <f t="shared" si="16"/>
        <v>-0.13472402021402932</v>
      </c>
      <c r="BM52" s="9" t="s">
        <v>11</v>
      </c>
      <c r="BN52" s="9"/>
      <c r="BO52" s="8">
        <v>284</v>
      </c>
      <c r="BP52" s="7">
        <v>1504246.66666603</v>
      </c>
      <c r="BQ52" s="27">
        <f t="shared" si="17"/>
        <v>-308</v>
      </c>
      <c r="BR52" s="28">
        <f t="shared" si="18"/>
        <v>-1905214.2857138701</v>
      </c>
      <c r="BS52" s="29">
        <f t="shared" si="19"/>
        <v>-0.55880220138141679</v>
      </c>
      <c r="BU52" s="9" t="s">
        <v>11</v>
      </c>
      <c r="BV52" s="9"/>
      <c r="BW52" s="8">
        <v>212</v>
      </c>
      <c r="BX52" s="7">
        <v>972223.33333280997</v>
      </c>
      <c r="BY52" s="27">
        <f t="shared" si="26"/>
        <v>-72</v>
      </c>
      <c r="BZ52" s="28">
        <f t="shared" si="21"/>
        <v>-532023.33333321998</v>
      </c>
      <c r="CA52" s="29">
        <f t="shared" si="22"/>
        <v>-0.35368091226180448</v>
      </c>
      <c r="CC52" s="9" t="s">
        <v>11</v>
      </c>
      <c r="CD52" s="9"/>
      <c r="CE52" s="8">
        <v>291</v>
      </c>
      <c r="CF52" s="7">
        <v>2059051.4285707299</v>
      </c>
      <c r="CG52" s="27">
        <f t="shared" si="23"/>
        <v>79</v>
      </c>
      <c r="CH52" s="28">
        <f t="shared" si="24"/>
        <v>1086828.0952379201</v>
      </c>
      <c r="CI52" s="29">
        <f t="shared" si="25"/>
        <v>1.1178790489549779</v>
      </c>
      <c r="CK52" s="9"/>
      <c r="CL52" s="9"/>
      <c r="CM52" s="8"/>
      <c r="CN52" s="7"/>
      <c r="CO52" s="27"/>
      <c r="CP52" s="28"/>
      <c r="CQ52" s="29"/>
      <c r="CS52" s="9"/>
      <c r="CT52" s="9"/>
      <c r="CU52" s="8"/>
      <c r="CV52" s="7"/>
      <c r="CW52" s="27"/>
      <c r="CX52" s="28"/>
      <c r="CY52" s="29"/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26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32"/>
      <c r="CM53" s="15"/>
      <c r="CN53" s="33"/>
      <c r="CO53" s="10"/>
      <c r="CP53" s="12"/>
      <c r="CQ53" s="11"/>
      <c r="CS53" s="14"/>
      <c r="CT53" s="32"/>
      <c r="CU53" s="15"/>
      <c r="CV53" s="33"/>
      <c r="CW53" s="10"/>
      <c r="CX53" s="12"/>
      <c r="CY53" s="11"/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7</v>
      </c>
      <c r="AZ54" s="35"/>
      <c r="BA54" s="10">
        <f t="shared" si="11"/>
        <v>-1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8</v>
      </c>
      <c r="BH54" s="35"/>
      <c r="BI54" s="10">
        <f t="shared" si="14"/>
        <v>1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3</v>
      </c>
      <c r="BP54" s="35"/>
      <c r="BQ54" s="10">
        <f t="shared" si="17"/>
        <v>-5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26"/>
        <v>-3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/>
      <c r="CM54" s="15"/>
      <c r="CN54" s="33"/>
      <c r="CO54" s="10"/>
      <c r="CP54" s="12"/>
      <c r="CQ54" s="11"/>
      <c r="CS54" s="14"/>
      <c r="CT54" s="32"/>
      <c r="CU54" s="15"/>
      <c r="CV54" s="33"/>
      <c r="CW54" s="10"/>
      <c r="CX54" s="12"/>
      <c r="CY54" s="11"/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 t="s">
        <v>10</v>
      </c>
      <c r="BG55" s="10">
        <v>287</v>
      </c>
      <c r="BH55" s="12">
        <v>257858.09523702989</v>
      </c>
      <c r="BI55" s="10">
        <f t="shared" si="14"/>
        <v>111</v>
      </c>
      <c r="BJ55" s="12">
        <f t="shared" si="15"/>
        <v>91004.761904359999</v>
      </c>
      <c r="BK55" s="11">
        <f t="shared" si="16"/>
        <v>0.54541770360029873</v>
      </c>
      <c r="BM55" s="14"/>
      <c r="BN55" s="13" t="s">
        <v>10</v>
      </c>
      <c r="BO55" s="10">
        <v>150</v>
      </c>
      <c r="BP55" s="12">
        <v>142848.57142798998</v>
      </c>
      <c r="BQ55" s="10">
        <f t="shared" si="17"/>
        <v>-137</v>
      </c>
      <c r="BR55" s="12">
        <f t="shared" si="18"/>
        <v>-115009.52380903991</v>
      </c>
      <c r="BS55" s="11">
        <f t="shared" si="19"/>
        <v>-0.44601866659768874</v>
      </c>
      <c r="BU55" s="14"/>
      <c r="BV55" s="13" t="s">
        <v>10</v>
      </c>
      <c r="BW55" s="10">
        <v>118</v>
      </c>
      <c r="BX55" s="12">
        <v>102147.61904713005</v>
      </c>
      <c r="BY55" s="10">
        <f t="shared" si="26"/>
        <v>-32</v>
      </c>
      <c r="BZ55" s="12">
        <f t="shared" si="21"/>
        <v>-40700.952380859933</v>
      </c>
      <c r="CA55" s="11">
        <f t="shared" si="22"/>
        <v>-0.28492376209290476</v>
      </c>
      <c r="CC55" s="14"/>
      <c r="CD55" s="13" t="s">
        <v>10</v>
      </c>
      <c r="CE55" s="10">
        <v>114</v>
      </c>
      <c r="CF55" s="12">
        <v>112772.38095190004</v>
      </c>
      <c r="CG55" s="10">
        <f t="shared" si="23"/>
        <v>-4</v>
      </c>
      <c r="CH55" s="12">
        <f t="shared" si="24"/>
        <v>10624.761904769985</v>
      </c>
      <c r="CI55" s="11">
        <f t="shared" si="25"/>
        <v>0.10401379889107165</v>
      </c>
      <c r="CK55" s="14"/>
      <c r="CL55" s="13"/>
      <c r="CN55" s="12"/>
      <c r="CP55" s="12"/>
      <c r="CQ55" s="11"/>
      <c r="CS55" s="14"/>
      <c r="CT55" s="13"/>
      <c r="CV55" s="12"/>
      <c r="CX55" s="12"/>
      <c r="CY55" s="11"/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 t="s">
        <v>9</v>
      </c>
      <c r="BG56" s="10">
        <v>152</v>
      </c>
      <c r="BH56" s="12">
        <v>156239.99999991001</v>
      </c>
      <c r="BI56" s="10">
        <f t="shared" si="14"/>
        <v>43</v>
      </c>
      <c r="BJ56" s="12">
        <f t="shared" si="15"/>
        <v>44825.714285730035</v>
      </c>
      <c r="BK56" s="11">
        <f t="shared" si="16"/>
        <v>0.40233363251751253</v>
      </c>
      <c r="BM56" s="14"/>
      <c r="BN56" s="13" t="s">
        <v>9</v>
      </c>
      <c r="BO56" s="10">
        <v>104</v>
      </c>
      <c r="BP56" s="12">
        <v>99019.047618960001</v>
      </c>
      <c r="BQ56" s="10">
        <f t="shared" si="17"/>
        <v>-48</v>
      </c>
      <c r="BR56" s="12">
        <f t="shared" si="18"/>
        <v>-57220.95238095001</v>
      </c>
      <c r="BS56" s="11">
        <f t="shared" si="19"/>
        <v>-0.36623753444049517</v>
      </c>
      <c r="BU56" s="14"/>
      <c r="BV56" s="13" t="s">
        <v>9</v>
      </c>
      <c r="BW56" s="10">
        <v>89</v>
      </c>
      <c r="BX56" s="12">
        <v>100334.28571419</v>
      </c>
      <c r="BY56" s="10">
        <f t="shared" si="26"/>
        <v>-15</v>
      </c>
      <c r="BZ56" s="12">
        <f t="shared" si="21"/>
        <v>1315.2380952300009</v>
      </c>
      <c r="CA56" s="11">
        <f t="shared" si="22"/>
        <v>1.3282677695419092E-2</v>
      </c>
      <c r="CC56" s="14"/>
      <c r="CD56" s="13" t="s">
        <v>9</v>
      </c>
      <c r="CE56" s="10">
        <v>68</v>
      </c>
      <c r="CF56" s="12">
        <v>77828.571428499999</v>
      </c>
      <c r="CG56" s="10">
        <f t="shared" si="23"/>
        <v>-21</v>
      </c>
      <c r="CH56" s="12">
        <f t="shared" si="24"/>
        <v>-22505.714285690003</v>
      </c>
      <c r="CI56" s="11">
        <f t="shared" si="25"/>
        <v>-0.22430731554514952</v>
      </c>
      <c r="CK56" s="14"/>
      <c r="CL56" s="13"/>
      <c r="CN56" s="12"/>
      <c r="CP56" s="12"/>
      <c r="CQ56" s="11"/>
      <c r="CS56" s="14"/>
      <c r="CT56" s="13"/>
      <c r="CV56" s="12"/>
      <c r="CX56" s="12"/>
      <c r="CY56" s="11"/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 t="s">
        <v>8</v>
      </c>
      <c r="BG57" s="10">
        <v>30</v>
      </c>
      <c r="BH57" s="12">
        <v>214319.99999996999</v>
      </c>
      <c r="BI57" s="10">
        <f t="shared" si="14"/>
        <v>2</v>
      </c>
      <c r="BJ57" s="12">
        <f t="shared" si="15"/>
        <v>29729.523809509992</v>
      </c>
      <c r="BK57" s="11">
        <f t="shared" si="16"/>
        <v>0.16105665050040363</v>
      </c>
      <c r="BM57" s="14"/>
      <c r="BN57" s="13" t="s">
        <v>8</v>
      </c>
      <c r="BO57" s="10">
        <v>26</v>
      </c>
      <c r="BP57" s="12">
        <v>166323.80952379</v>
      </c>
      <c r="BQ57" s="10">
        <f t="shared" si="17"/>
        <v>-4</v>
      </c>
      <c r="BR57" s="12">
        <f t="shared" si="18"/>
        <v>-47996.190476179996</v>
      </c>
      <c r="BS57" s="11">
        <f t="shared" si="19"/>
        <v>-0.22394639079967674</v>
      </c>
      <c r="BU57" s="14"/>
      <c r="BV57" s="13" t="s">
        <v>8</v>
      </c>
      <c r="BW57" s="10">
        <v>19</v>
      </c>
      <c r="BX57" s="12">
        <v>131247.61904760002</v>
      </c>
      <c r="BY57" s="10">
        <f t="shared" si="26"/>
        <v>-7</v>
      </c>
      <c r="BZ57" s="12">
        <f t="shared" si="21"/>
        <v>-35076.190476189979</v>
      </c>
      <c r="CA57" s="11">
        <f t="shared" si="22"/>
        <v>-0.21089097572150597</v>
      </c>
      <c r="CC57" s="14"/>
      <c r="CD57" s="13" t="s">
        <v>8</v>
      </c>
      <c r="CE57" s="10">
        <v>26</v>
      </c>
      <c r="CF57" s="12">
        <v>161180.95238094003</v>
      </c>
      <c r="CG57" s="10">
        <f t="shared" si="23"/>
        <v>7</v>
      </c>
      <c r="CH57" s="12">
        <f t="shared" si="24"/>
        <v>29933.333333340008</v>
      </c>
      <c r="CI57" s="11">
        <f t="shared" si="25"/>
        <v>0.22806762934483393</v>
      </c>
      <c r="CK57" s="14"/>
      <c r="CL57" s="13"/>
      <c r="CN57" s="12"/>
      <c r="CP57" s="12"/>
      <c r="CQ57" s="11"/>
      <c r="CS57" s="14"/>
      <c r="CT57" s="13"/>
      <c r="CV57" s="12"/>
      <c r="CX57" s="12"/>
      <c r="CY57" s="11"/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 t="s">
        <v>7</v>
      </c>
      <c r="BG58" s="10">
        <v>30</v>
      </c>
      <c r="BH58" s="12">
        <v>418094.28571419005</v>
      </c>
      <c r="BI58" s="10">
        <f t="shared" si="14"/>
        <v>0</v>
      </c>
      <c r="BJ58" s="12">
        <f t="shared" si="15"/>
        <v>97519.999999980035</v>
      </c>
      <c r="BK58" s="11">
        <f t="shared" si="16"/>
        <v>0.304204062352395</v>
      </c>
      <c r="BM58" s="14"/>
      <c r="BN58" s="13" t="s">
        <v>7</v>
      </c>
      <c r="BO58" s="10">
        <v>15</v>
      </c>
      <c r="BP58" s="12">
        <v>179999.99999996001</v>
      </c>
      <c r="BQ58" s="10">
        <f t="shared" si="17"/>
        <v>-15</v>
      </c>
      <c r="BR58" s="12">
        <f t="shared" si="18"/>
        <v>-238094.28571423003</v>
      </c>
      <c r="BS58" s="11">
        <f t="shared" si="19"/>
        <v>-0.56947510131002288</v>
      </c>
      <c r="BU58" s="14"/>
      <c r="BV58" s="13" t="s">
        <v>7</v>
      </c>
      <c r="BW58" s="10">
        <v>4</v>
      </c>
      <c r="BX58" s="12">
        <v>42476.190476169999</v>
      </c>
      <c r="BY58" s="10">
        <f t="shared" si="26"/>
        <v>-11</v>
      </c>
      <c r="BZ58" s="12">
        <f t="shared" si="21"/>
        <v>-137523.80952379003</v>
      </c>
      <c r="CA58" s="11">
        <f t="shared" si="22"/>
        <v>-0.76402116402122544</v>
      </c>
      <c r="CC58" s="14"/>
      <c r="CD58" s="13" t="s">
        <v>7</v>
      </c>
      <c r="CE58" s="10">
        <v>9</v>
      </c>
      <c r="CF58" s="12">
        <v>97714.28571425</v>
      </c>
      <c r="CG58" s="10">
        <f t="shared" si="23"/>
        <v>5</v>
      </c>
      <c r="CH58" s="12">
        <f t="shared" si="24"/>
        <v>55238.095238080001</v>
      </c>
      <c r="CI58" s="11">
        <f t="shared" si="25"/>
        <v>1.3004484304935418</v>
      </c>
      <c r="CK58" s="14"/>
      <c r="CL58" s="13"/>
      <c r="CN58" s="12"/>
      <c r="CP58" s="12"/>
      <c r="CQ58" s="11"/>
      <c r="CS58" s="14"/>
      <c r="CT58" s="13"/>
      <c r="CV58" s="12"/>
      <c r="CX58" s="12"/>
      <c r="CY58" s="11"/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G59" s="10">
        <v>2</v>
      </c>
      <c r="BH59" s="12">
        <v>11714.285714279999</v>
      </c>
      <c r="BI59" s="10">
        <f t="shared" si="14"/>
        <v>2</v>
      </c>
      <c r="BJ59" s="12">
        <f t="shared" si="15"/>
        <v>11714.285714279999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-2</v>
      </c>
      <c r="BR59" s="12">
        <f t="shared" si="18"/>
        <v>-11714.285714279999</v>
      </c>
      <c r="BS59" s="11">
        <f t="shared" si="19"/>
        <v>-1</v>
      </c>
      <c r="BU59" s="14"/>
      <c r="BV59" s="13" t="s">
        <v>6</v>
      </c>
      <c r="BX59" s="12"/>
      <c r="BY59" s="10">
        <f t="shared" si="26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/>
      <c r="CN59" s="12"/>
      <c r="CP59" s="12"/>
      <c r="CQ59" s="11"/>
      <c r="CS59" s="14"/>
      <c r="CT59" s="13"/>
      <c r="CV59" s="12"/>
      <c r="CX59" s="12"/>
      <c r="CY59" s="11"/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 t="s">
        <v>5</v>
      </c>
      <c r="BG60" s="10">
        <v>4</v>
      </c>
      <c r="BH60" s="12">
        <v>17360</v>
      </c>
      <c r="BI60" s="10">
        <f t="shared" si="14"/>
        <v>1</v>
      </c>
      <c r="BJ60" s="12">
        <f t="shared" si="15"/>
        <v>-1610</v>
      </c>
      <c r="BK60" s="11">
        <f t="shared" si="16"/>
        <v>-8.4870848708487087E-2</v>
      </c>
      <c r="BM60" s="14"/>
      <c r="BN60" s="13" t="s">
        <v>5</v>
      </c>
      <c r="BP60" s="12"/>
      <c r="BQ60" s="10">
        <f t="shared" si="17"/>
        <v>-4</v>
      </c>
      <c r="BR60" s="12">
        <f t="shared" si="18"/>
        <v>-17360</v>
      </c>
      <c r="BS60" s="11">
        <f t="shared" si="19"/>
        <v>-1</v>
      </c>
      <c r="BU60" s="14"/>
      <c r="BV60" s="13" t="s">
        <v>5</v>
      </c>
      <c r="BW60" s="10">
        <v>1</v>
      </c>
      <c r="BX60" s="12">
        <v>6290</v>
      </c>
      <c r="BY60" s="10">
        <f t="shared" si="26"/>
        <v>1</v>
      </c>
      <c r="BZ60" s="12">
        <f t="shared" si="21"/>
        <v>6290</v>
      </c>
      <c r="CA60" s="11" t="e">
        <f t="shared" si="22"/>
        <v>#DIV/0!</v>
      </c>
      <c r="CC60" s="14"/>
      <c r="CD60" s="13" t="s">
        <v>5</v>
      </c>
      <c r="CE60" s="10">
        <v>2</v>
      </c>
      <c r="CF60" s="12">
        <v>8780</v>
      </c>
      <c r="CG60" s="10">
        <f t="shared" si="23"/>
        <v>1</v>
      </c>
      <c r="CH60" s="12">
        <f t="shared" si="24"/>
        <v>2490</v>
      </c>
      <c r="CI60" s="11">
        <f t="shared" si="25"/>
        <v>0.3958664546899841</v>
      </c>
      <c r="CK60" s="14"/>
      <c r="CL60" s="13"/>
      <c r="CN60" s="12"/>
      <c r="CP60" s="12"/>
      <c r="CQ60" s="11"/>
      <c r="CS60" s="14"/>
      <c r="CT60" s="13"/>
      <c r="CV60" s="12"/>
      <c r="CX60" s="12"/>
      <c r="CY60" s="11"/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 t="s">
        <v>4</v>
      </c>
      <c r="BG61" s="10">
        <v>6</v>
      </c>
      <c r="BH61" s="12">
        <v>182290.47619047001</v>
      </c>
      <c r="BI61" s="10">
        <f t="shared" si="14"/>
        <v>0</v>
      </c>
      <c r="BJ61" s="12">
        <f t="shared" si="15"/>
        <v>-22242.857142859983</v>
      </c>
      <c r="BK61" s="11">
        <f t="shared" si="16"/>
        <v>-0.10874930154592738</v>
      </c>
      <c r="BM61" s="14"/>
      <c r="BN61" s="13" t="s">
        <v>4</v>
      </c>
      <c r="BO61" s="10">
        <v>6</v>
      </c>
      <c r="BP61" s="12">
        <v>239999.99999996001</v>
      </c>
      <c r="BQ61" s="10">
        <f t="shared" si="17"/>
        <v>0</v>
      </c>
      <c r="BR61" s="12">
        <f t="shared" si="18"/>
        <v>57709.523809489998</v>
      </c>
      <c r="BS61" s="11">
        <f t="shared" si="19"/>
        <v>0.31658002664489721</v>
      </c>
      <c r="BU61" s="14"/>
      <c r="BV61" s="13" t="s">
        <v>4</v>
      </c>
      <c r="BW61" s="10">
        <v>3</v>
      </c>
      <c r="BX61" s="12">
        <v>83142.857142840003</v>
      </c>
      <c r="BY61" s="10">
        <f t="shared" si="26"/>
        <v>-3</v>
      </c>
      <c r="BZ61" s="12">
        <f t="shared" si="21"/>
        <v>-156857.14285712002</v>
      </c>
      <c r="CA61" s="11">
        <f t="shared" si="22"/>
        <v>-0.65357142857144235</v>
      </c>
      <c r="CC61" s="14"/>
      <c r="CD61" s="13" t="s">
        <v>4</v>
      </c>
      <c r="CE61" s="10">
        <v>3</v>
      </c>
      <c r="CF61" s="12">
        <v>91142.857142840003</v>
      </c>
      <c r="CG61" s="10">
        <f t="shared" si="23"/>
        <v>0</v>
      </c>
      <c r="CH61" s="12">
        <f t="shared" si="24"/>
        <v>8000</v>
      </c>
      <c r="CI61" s="11">
        <f t="shared" si="25"/>
        <v>9.62199312714975E-2</v>
      </c>
      <c r="CK61" s="14"/>
      <c r="CL61" s="13"/>
      <c r="CN61" s="12"/>
      <c r="CP61" s="12"/>
      <c r="CQ61" s="11"/>
      <c r="CS61" s="14"/>
      <c r="CT61" s="13"/>
      <c r="CV61" s="12"/>
      <c r="CX61" s="12"/>
      <c r="CY61" s="11"/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 t="s">
        <v>3</v>
      </c>
      <c r="BG62" s="10">
        <v>30</v>
      </c>
      <c r="BH62" s="12">
        <v>572857.14285707008</v>
      </c>
      <c r="BI62" s="10">
        <f t="shared" si="14"/>
        <v>8</v>
      </c>
      <c r="BJ62" s="12">
        <f t="shared" si="15"/>
        <v>221619.04761901009</v>
      </c>
      <c r="BK62" s="11">
        <f t="shared" si="16"/>
        <v>0.63096529284160507</v>
      </c>
      <c r="BM62" s="14"/>
      <c r="BN62" s="13" t="s">
        <v>3</v>
      </c>
      <c r="BO62" s="10">
        <v>16</v>
      </c>
      <c r="BP62" s="12">
        <v>271333.33333329001</v>
      </c>
      <c r="BQ62" s="10">
        <f t="shared" si="17"/>
        <v>-14</v>
      </c>
      <c r="BR62" s="12">
        <f t="shared" si="18"/>
        <v>-301523.80952378007</v>
      </c>
      <c r="BS62" s="11">
        <f t="shared" si="19"/>
        <v>-0.52635078969245108</v>
      </c>
      <c r="BU62" s="14"/>
      <c r="BV62" s="13" t="s">
        <v>3</v>
      </c>
      <c r="BW62" s="10">
        <v>10</v>
      </c>
      <c r="BX62" s="12">
        <v>217142.85714284002</v>
      </c>
      <c r="BY62" s="10">
        <f t="shared" si="26"/>
        <v>-6</v>
      </c>
      <c r="BZ62" s="12">
        <f t="shared" si="21"/>
        <v>-54190.47619044999</v>
      </c>
      <c r="CA62" s="11">
        <f t="shared" si="22"/>
        <v>-0.19971919971913504</v>
      </c>
      <c r="CC62" s="14"/>
      <c r="CD62" s="13" t="s">
        <v>3</v>
      </c>
      <c r="CE62" s="10">
        <v>29</v>
      </c>
      <c r="CF62" s="12">
        <v>380761.90476187004</v>
      </c>
      <c r="CG62" s="10">
        <f t="shared" si="23"/>
        <v>19</v>
      </c>
      <c r="CH62" s="12">
        <f t="shared" si="24"/>
        <v>163619.04761903003</v>
      </c>
      <c r="CI62" s="11">
        <f t="shared" si="25"/>
        <v>0.75350877192980292</v>
      </c>
      <c r="CK62" s="14"/>
      <c r="CL62" s="13"/>
      <c r="CN62" s="12"/>
      <c r="CP62" s="12"/>
      <c r="CQ62" s="11"/>
      <c r="CS62" s="14"/>
      <c r="CT62" s="13"/>
      <c r="CV62" s="12"/>
      <c r="CX62" s="12"/>
      <c r="CY62" s="11"/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 t="s">
        <v>2</v>
      </c>
      <c r="BG63" s="10">
        <v>40</v>
      </c>
      <c r="BH63" s="12">
        <v>1290476.19047615</v>
      </c>
      <c r="BI63" s="10">
        <f t="shared" si="14"/>
        <v>-23</v>
      </c>
      <c r="BJ63" s="12">
        <f t="shared" si="15"/>
        <v>-1037427.6190476099</v>
      </c>
      <c r="BK63" s="11">
        <f t="shared" si="16"/>
        <v>-0.44564883428746382</v>
      </c>
      <c r="BM63" s="14"/>
      <c r="BN63" s="13" t="s">
        <v>2</v>
      </c>
      <c r="BO63" s="10">
        <v>23</v>
      </c>
      <c r="BP63" s="12">
        <v>714004.76190474001</v>
      </c>
      <c r="BQ63" s="10">
        <f t="shared" si="17"/>
        <v>-17</v>
      </c>
      <c r="BR63" s="12">
        <f t="shared" si="18"/>
        <v>-576471.42857141001</v>
      </c>
      <c r="BS63" s="11">
        <f t="shared" si="19"/>
        <v>-0.44671217712177086</v>
      </c>
      <c r="BU63" s="14"/>
      <c r="BV63" s="13" t="s">
        <v>2</v>
      </c>
      <c r="BW63" s="10">
        <v>14</v>
      </c>
      <c r="BX63" s="12">
        <v>456340.95238093007</v>
      </c>
      <c r="BY63" s="10">
        <f t="shared" si="26"/>
        <v>-9</v>
      </c>
      <c r="BZ63" s="12">
        <f t="shared" si="21"/>
        <v>-257663.80952380993</v>
      </c>
      <c r="CA63" s="11">
        <f t="shared" si="22"/>
        <v>-0.36087127603525215</v>
      </c>
      <c r="CC63" s="14"/>
      <c r="CD63" s="13" t="s">
        <v>2</v>
      </c>
      <c r="CE63" s="10">
        <v>18</v>
      </c>
      <c r="CF63" s="12">
        <v>585904.76190473</v>
      </c>
      <c r="CG63" s="10">
        <f t="shared" si="23"/>
        <v>4</v>
      </c>
      <c r="CH63" s="12">
        <f t="shared" si="24"/>
        <v>129563.80952379992</v>
      </c>
      <c r="CI63" s="11">
        <f t="shared" si="25"/>
        <v>0.28391887435876384</v>
      </c>
      <c r="CK63" s="14"/>
      <c r="CL63" s="13"/>
      <c r="CN63" s="12"/>
      <c r="CP63" s="12"/>
      <c r="CQ63" s="11"/>
      <c r="CS63" s="14"/>
      <c r="CT63" s="13"/>
      <c r="CV63" s="12"/>
      <c r="CX63" s="12"/>
      <c r="CY63" s="11"/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 t="s">
        <v>1</v>
      </c>
      <c r="BF64" s="9"/>
      <c r="BG64" s="8">
        <v>581</v>
      </c>
      <c r="BH64" s="7">
        <v>3121210.4761890704</v>
      </c>
      <c r="BI64" s="27">
        <f t="shared" si="14"/>
        <v>144</v>
      </c>
      <c r="BJ64" s="28">
        <f t="shared" si="15"/>
        <v>-564867.14285759954</v>
      </c>
      <c r="BK64" s="29">
        <f t="shared" si="16"/>
        <v>-0.15324342057769558</v>
      </c>
      <c r="BM64" s="9" t="s">
        <v>1</v>
      </c>
      <c r="BN64" s="9"/>
      <c r="BO64" s="8">
        <v>340</v>
      </c>
      <c r="BP64" s="7">
        <v>1813529.52380869</v>
      </c>
      <c r="BQ64" s="27">
        <f t="shared" si="17"/>
        <v>-241</v>
      </c>
      <c r="BR64" s="28">
        <f t="shared" si="18"/>
        <v>-1307680.9523803804</v>
      </c>
      <c r="BS64" s="29">
        <f t="shared" si="19"/>
        <v>-0.41896596283920917</v>
      </c>
      <c r="BU64" s="9" t="s">
        <v>1</v>
      </c>
      <c r="BV64" s="9"/>
      <c r="BW64" s="8">
        <v>258</v>
      </c>
      <c r="BX64" s="7">
        <v>1139122.3809517003</v>
      </c>
      <c r="BY64" s="27">
        <f t="shared" si="26"/>
        <v>-82</v>
      </c>
      <c r="BZ64" s="28">
        <f t="shared" si="21"/>
        <v>-674407.14285698975</v>
      </c>
      <c r="CA64" s="29">
        <f t="shared" si="22"/>
        <v>-0.371875469355818</v>
      </c>
      <c r="CC64" s="9" t="s">
        <v>1</v>
      </c>
      <c r="CD64" s="9"/>
      <c r="CE64" s="8">
        <v>269</v>
      </c>
      <c r="CF64" s="7">
        <v>1516085.71428503</v>
      </c>
      <c r="CG64" s="27">
        <f t="shared" si="23"/>
        <v>11</v>
      </c>
      <c r="CH64" s="28">
        <f t="shared" si="24"/>
        <v>376963.33333332976</v>
      </c>
      <c r="CI64" s="29">
        <f t="shared" si="25"/>
        <v>0.33092434986519093</v>
      </c>
      <c r="CK64" s="9"/>
      <c r="CL64" s="9"/>
      <c r="CM64" s="8"/>
      <c r="CN64" s="7"/>
      <c r="CO64" s="27"/>
      <c r="CP64" s="28"/>
      <c r="CQ64" s="29"/>
      <c r="CS64" s="9"/>
      <c r="CT64" s="9"/>
      <c r="CU64" s="8"/>
      <c r="CV64" s="7"/>
      <c r="CW64" s="27"/>
      <c r="CX64" s="28"/>
      <c r="CY64" s="29"/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 t="s">
        <v>0</v>
      </c>
      <c r="BF65" s="4"/>
      <c r="BG65" s="3">
        <v>4076</v>
      </c>
      <c r="BH65" s="2">
        <v>27770566.19046903</v>
      </c>
      <c r="BI65" s="6">
        <f t="shared" si="14"/>
        <v>572</v>
      </c>
      <c r="BJ65" s="5">
        <f t="shared" si="15"/>
        <v>-5508591.9047626629</v>
      </c>
      <c r="BK65" s="30">
        <f t="shared" si="16"/>
        <v>-0.16552678072562013</v>
      </c>
      <c r="BM65" s="4" t="s">
        <v>0</v>
      </c>
      <c r="BN65" s="4"/>
      <c r="BO65" s="3">
        <v>2562</v>
      </c>
      <c r="BP65" s="2">
        <v>17037617.14285263</v>
      </c>
      <c r="BQ65" s="6">
        <f t="shared" si="17"/>
        <v>-1514</v>
      </c>
      <c r="BR65" s="5">
        <f t="shared" si="18"/>
        <v>-10732949.0476164</v>
      </c>
      <c r="BS65" s="30">
        <f t="shared" si="19"/>
        <v>-0.38648650423627268</v>
      </c>
      <c r="BU65" s="4" t="s">
        <v>0</v>
      </c>
      <c r="BV65" s="4"/>
      <c r="BW65" s="3">
        <v>1893</v>
      </c>
      <c r="BX65" s="2">
        <v>11122184.761900868</v>
      </c>
      <c r="BY65" s="6">
        <f t="shared" si="26"/>
        <v>-669</v>
      </c>
      <c r="BZ65" s="5">
        <f t="shared" si="21"/>
        <v>-5915432.3809517622</v>
      </c>
      <c r="CA65" s="30">
        <f t="shared" si="22"/>
        <v>-0.34719833949510465</v>
      </c>
      <c r="CC65" s="4" t="s">
        <v>0</v>
      </c>
      <c r="CD65" s="4"/>
      <c r="CE65" s="3">
        <v>2305</v>
      </c>
      <c r="CF65" s="2">
        <v>21361582.380947892</v>
      </c>
      <c r="CG65" s="6">
        <f t="shared" si="23"/>
        <v>412</v>
      </c>
      <c r="CH65" s="5">
        <f t="shared" si="24"/>
        <v>10239397.619047023</v>
      </c>
      <c r="CI65" s="30">
        <f t="shared" si="25"/>
        <v>0.92062826128569275</v>
      </c>
      <c r="CK65" s="4"/>
      <c r="CL65" s="4"/>
      <c r="CM65" s="3"/>
      <c r="CN65" s="2"/>
      <c r="CO65" s="6"/>
      <c r="CP65" s="5"/>
      <c r="CQ65" s="30"/>
      <c r="CS65" s="4"/>
      <c r="CT65" s="4"/>
      <c r="CU65" s="3"/>
      <c r="CV65" s="2"/>
      <c r="CW65" s="6"/>
      <c r="CX65" s="5"/>
      <c r="CY65" s="30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9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2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1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0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8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7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4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5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3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2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14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3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  <x14:conditionalFormatting xmlns:xm="http://schemas.microsoft.com/office/excel/2006/main">
          <x14:cfRule type="containsText" priority="1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2026-03-15T11:42:58Z</dcterms:modified>
</cp:coreProperties>
</file>