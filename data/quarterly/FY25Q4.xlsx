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26Q1/"/>
    </mc:Choice>
  </mc:AlternateContent>
  <xr:revisionPtr revIDLastSave="0" documentId="13_ncr:1_{210CED3F-BF15-CB42-90DB-87AC9253CF82}" xr6:coauthVersionLast="47" xr6:coauthVersionMax="47" xr10:uidLastSave="{00000000-0000-0000-0000-000000000000}"/>
  <bookViews>
    <workbookView xWindow="7200" yWindow="1960" windowWidth="26640" windowHeight="15320" xr2:uid="{8B96DD09-AD88-7743-92B9-2B296BF94682}"/>
  </bookViews>
  <sheets>
    <sheet name="25Q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5" i="2" l="1"/>
  <c r="CX65" i="2"/>
  <c r="CW65" i="2"/>
  <c r="CY64" i="2"/>
  <c r="CX64" i="2"/>
  <c r="CW64" i="2"/>
  <c r="CY63" i="2"/>
  <c r="CX63" i="2"/>
  <c r="CW63" i="2"/>
  <c r="CY62" i="2"/>
  <c r="CX62" i="2"/>
  <c r="CW62" i="2"/>
  <c r="CY61" i="2"/>
  <c r="CX61" i="2"/>
  <c r="CW61" i="2"/>
  <c r="CY60" i="2"/>
  <c r="CX60" i="2"/>
  <c r="CW60" i="2"/>
  <c r="CY59" i="2"/>
  <c r="CX59" i="2"/>
  <c r="CW59" i="2"/>
  <c r="CY58" i="2"/>
  <c r="CX58" i="2"/>
  <c r="CW58" i="2"/>
  <c r="CY57" i="2"/>
  <c r="CX57" i="2"/>
  <c r="CW57" i="2"/>
  <c r="CY56" i="2"/>
  <c r="CX56" i="2"/>
  <c r="CW56" i="2"/>
  <c r="CY55" i="2"/>
  <c r="CX55" i="2"/>
  <c r="CW55" i="2"/>
  <c r="CY54" i="2"/>
  <c r="CX54" i="2"/>
  <c r="CW54" i="2"/>
  <c r="CY53" i="2"/>
  <c r="CX53" i="2"/>
  <c r="CW53" i="2"/>
  <c r="CY52" i="2"/>
  <c r="CX52" i="2"/>
  <c r="CW52" i="2"/>
  <c r="CY51" i="2"/>
  <c r="CX51" i="2"/>
  <c r="CW51" i="2"/>
  <c r="CY50" i="2"/>
  <c r="CX50" i="2"/>
  <c r="CW50" i="2"/>
  <c r="CY49" i="2"/>
  <c r="CX49" i="2"/>
  <c r="CW49" i="2"/>
  <c r="CY48" i="2"/>
  <c r="CX48" i="2"/>
  <c r="CW48" i="2"/>
  <c r="CY47" i="2"/>
  <c r="CX47" i="2"/>
  <c r="CW47" i="2"/>
  <c r="CY46" i="2"/>
  <c r="CX46" i="2"/>
  <c r="CW46" i="2"/>
  <c r="CY45" i="2"/>
  <c r="CX45" i="2"/>
  <c r="CW45" i="2"/>
  <c r="CY44" i="2"/>
  <c r="CX44" i="2"/>
  <c r="CW44" i="2"/>
  <c r="CY43" i="2"/>
  <c r="CX43" i="2"/>
  <c r="CW43" i="2"/>
  <c r="CY42" i="2"/>
  <c r="CX42" i="2"/>
  <c r="CW42" i="2"/>
  <c r="CY41" i="2"/>
  <c r="CX41" i="2"/>
  <c r="CW41" i="2"/>
  <c r="CY40" i="2"/>
  <c r="CX40" i="2"/>
  <c r="CW40" i="2"/>
  <c r="CY39" i="2"/>
  <c r="CX39" i="2"/>
  <c r="CW39" i="2"/>
  <c r="CY38" i="2"/>
  <c r="CX38" i="2"/>
  <c r="CW38" i="2"/>
  <c r="CY37" i="2"/>
  <c r="CX37" i="2"/>
  <c r="CW37" i="2"/>
  <c r="CY36" i="2"/>
  <c r="CX36" i="2"/>
  <c r="CW36" i="2"/>
  <c r="CY35" i="2"/>
  <c r="CX35" i="2"/>
  <c r="CW35" i="2"/>
  <c r="CY34" i="2"/>
  <c r="CX34" i="2"/>
  <c r="CW34" i="2"/>
  <c r="CY33" i="2"/>
  <c r="CX33" i="2"/>
  <c r="CW33" i="2"/>
  <c r="CY32" i="2"/>
  <c r="CX32" i="2"/>
  <c r="CW32" i="2"/>
  <c r="CY31" i="2"/>
  <c r="CX31" i="2"/>
  <c r="CW31" i="2"/>
  <c r="CY30" i="2"/>
  <c r="CX30" i="2"/>
  <c r="CW30" i="2"/>
  <c r="CY29" i="2"/>
  <c r="CX29" i="2"/>
  <c r="CW29" i="2"/>
  <c r="CY28" i="2"/>
  <c r="CX28" i="2"/>
  <c r="CW28" i="2"/>
  <c r="CY27" i="2"/>
  <c r="CX27" i="2"/>
  <c r="CW27" i="2"/>
  <c r="CY26" i="2"/>
  <c r="CX26" i="2"/>
  <c r="CW26" i="2"/>
  <c r="CY25" i="2"/>
  <c r="CX25" i="2"/>
  <c r="CW25" i="2"/>
  <c r="CY24" i="2"/>
  <c r="CX24" i="2"/>
  <c r="CW24" i="2"/>
  <c r="CY23" i="2"/>
  <c r="CX23" i="2"/>
  <c r="CW23" i="2"/>
  <c r="CY22" i="2"/>
  <c r="CX22" i="2"/>
  <c r="CW22" i="2"/>
  <c r="CY21" i="2"/>
  <c r="CX21" i="2"/>
  <c r="CW21" i="2"/>
  <c r="CY20" i="2"/>
  <c r="CX20" i="2"/>
  <c r="CW20" i="2"/>
  <c r="CY19" i="2"/>
  <c r="CX19" i="2"/>
  <c r="CW19" i="2"/>
  <c r="CY18" i="2"/>
  <c r="CX18" i="2"/>
  <c r="CW18" i="2"/>
  <c r="CY17" i="2"/>
  <c r="CX17" i="2"/>
  <c r="CW17" i="2"/>
  <c r="CY16" i="2"/>
  <c r="CX16" i="2"/>
  <c r="CW16" i="2"/>
  <c r="CY15" i="2"/>
  <c r="CX15" i="2"/>
  <c r="CW15" i="2"/>
  <c r="CY14" i="2"/>
  <c r="CX14" i="2"/>
  <c r="CW14" i="2"/>
  <c r="CY13" i="2"/>
  <c r="CX13" i="2"/>
  <c r="CW13" i="2"/>
  <c r="CY12" i="2"/>
  <c r="CX12" i="2"/>
  <c r="CW12" i="2"/>
  <c r="CY11" i="2"/>
  <c r="CX11" i="2"/>
  <c r="CW11" i="2"/>
  <c r="CY10" i="2"/>
  <c r="CX10" i="2"/>
  <c r="CW10" i="2"/>
  <c r="CY9" i="2"/>
  <c r="CX9" i="2"/>
  <c r="CW9" i="2"/>
  <c r="CY8" i="2"/>
  <c r="CX8" i="2"/>
  <c r="CW8" i="2"/>
  <c r="CY7" i="2"/>
  <c r="CX7" i="2"/>
  <c r="CW7" i="2"/>
  <c r="CY6" i="2"/>
  <c r="CX6" i="2"/>
  <c r="CW6" i="2"/>
  <c r="CY5" i="2"/>
  <c r="CX5" i="2"/>
  <c r="CW5" i="2"/>
  <c r="CQ65" i="2"/>
  <c r="CP65" i="2"/>
  <c r="CO65" i="2"/>
  <c r="CQ64" i="2"/>
  <c r="CP64" i="2"/>
  <c r="CO64" i="2"/>
  <c r="CQ63" i="2"/>
  <c r="CP63" i="2"/>
  <c r="CO63" i="2"/>
  <c r="CQ62" i="2"/>
  <c r="CP62" i="2"/>
  <c r="CO62" i="2"/>
  <c r="CQ61" i="2"/>
  <c r="CP61" i="2"/>
  <c r="CO61" i="2"/>
  <c r="CQ60" i="2"/>
  <c r="CP60" i="2"/>
  <c r="CO60" i="2"/>
  <c r="CQ59" i="2"/>
  <c r="CP59" i="2"/>
  <c r="CO59" i="2"/>
  <c r="CQ58" i="2"/>
  <c r="CP58" i="2"/>
  <c r="CO58" i="2"/>
  <c r="CQ57" i="2"/>
  <c r="CP57" i="2"/>
  <c r="CO57" i="2"/>
  <c r="CQ56" i="2"/>
  <c r="CP56" i="2"/>
  <c r="CO56" i="2"/>
  <c r="CQ55" i="2"/>
  <c r="CP55" i="2"/>
  <c r="CO55" i="2"/>
  <c r="CQ54" i="2"/>
  <c r="CP54" i="2"/>
  <c r="CO54" i="2"/>
  <c r="CQ53" i="2"/>
  <c r="CP53" i="2"/>
  <c r="CO53" i="2"/>
  <c r="CQ52" i="2"/>
  <c r="CP52" i="2"/>
  <c r="CO52" i="2"/>
  <c r="CQ51" i="2"/>
  <c r="CP51" i="2"/>
  <c r="CO51" i="2"/>
  <c r="CQ50" i="2"/>
  <c r="CP50" i="2"/>
  <c r="CO50" i="2"/>
  <c r="CQ49" i="2"/>
  <c r="CP49" i="2"/>
  <c r="CO49" i="2"/>
  <c r="CQ48" i="2"/>
  <c r="CP48" i="2"/>
  <c r="CO48" i="2"/>
  <c r="CQ47" i="2"/>
  <c r="CP47" i="2"/>
  <c r="CO47" i="2"/>
  <c r="CQ46" i="2"/>
  <c r="CP46" i="2"/>
  <c r="CO46" i="2"/>
  <c r="CQ45" i="2"/>
  <c r="CP45" i="2"/>
  <c r="CO45" i="2"/>
  <c r="CQ44" i="2"/>
  <c r="CP44" i="2"/>
  <c r="CO44" i="2"/>
  <c r="CQ43" i="2"/>
  <c r="CP43" i="2"/>
  <c r="CO43" i="2"/>
  <c r="CQ42" i="2"/>
  <c r="CP42" i="2"/>
  <c r="CO42" i="2"/>
  <c r="CQ41" i="2"/>
  <c r="CP41" i="2"/>
  <c r="CO41" i="2"/>
  <c r="CQ40" i="2"/>
  <c r="CP40" i="2"/>
  <c r="CO40" i="2"/>
  <c r="CQ39" i="2"/>
  <c r="CP39" i="2"/>
  <c r="CO39" i="2"/>
  <c r="CQ38" i="2"/>
  <c r="CP38" i="2"/>
  <c r="CO38" i="2"/>
  <c r="CQ37" i="2"/>
  <c r="CP37" i="2"/>
  <c r="CO37" i="2"/>
  <c r="CQ36" i="2"/>
  <c r="CP36" i="2"/>
  <c r="CO36" i="2"/>
  <c r="CQ35" i="2"/>
  <c r="CP35" i="2"/>
  <c r="CO35" i="2"/>
  <c r="CQ34" i="2"/>
  <c r="CP34" i="2"/>
  <c r="CO34" i="2"/>
  <c r="CQ33" i="2"/>
  <c r="CP33" i="2"/>
  <c r="CO33" i="2"/>
  <c r="CQ32" i="2"/>
  <c r="CP32" i="2"/>
  <c r="CO32" i="2"/>
  <c r="CQ31" i="2"/>
  <c r="CP31" i="2"/>
  <c r="CO31" i="2"/>
  <c r="CQ30" i="2"/>
  <c r="CP30" i="2"/>
  <c r="CO30" i="2"/>
  <c r="CQ29" i="2"/>
  <c r="CP29" i="2"/>
  <c r="CO29" i="2"/>
  <c r="CQ28" i="2"/>
  <c r="CP28" i="2"/>
  <c r="CO28" i="2"/>
  <c r="CQ27" i="2"/>
  <c r="CP27" i="2"/>
  <c r="CO27" i="2"/>
  <c r="CQ26" i="2"/>
  <c r="CP26" i="2"/>
  <c r="CO26" i="2"/>
  <c r="CQ25" i="2"/>
  <c r="CP25" i="2"/>
  <c r="CO25" i="2"/>
  <c r="CQ24" i="2"/>
  <c r="CP24" i="2"/>
  <c r="CO24" i="2"/>
  <c r="CQ23" i="2"/>
  <c r="CP23" i="2"/>
  <c r="CO23" i="2"/>
  <c r="CQ22" i="2"/>
  <c r="CP22" i="2"/>
  <c r="CO22" i="2"/>
  <c r="CQ21" i="2"/>
  <c r="CP21" i="2"/>
  <c r="CO21" i="2"/>
  <c r="CQ20" i="2"/>
  <c r="CP20" i="2"/>
  <c r="CO20" i="2"/>
  <c r="CQ19" i="2"/>
  <c r="CP19" i="2"/>
  <c r="CO19" i="2"/>
  <c r="CQ18" i="2"/>
  <c r="CP18" i="2"/>
  <c r="CO18" i="2"/>
  <c r="CQ17" i="2"/>
  <c r="CP17" i="2"/>
  <c r="CO17" i="2"/>
  <c r="CQ16" i="2"/>
  <c r="CP16" i="2"/>
  <c r="CO16" i="2"/>
  <c r="CQ15" i="2"/>
  <c r="CP15" i="2"/>
  <c r="CO15" i="2"/>
  <c r="CQ14" i="2"/>
  <c r="CP14" i="2"/>
  <c r="CO14" i="2"/>
  <c r="CQ13" i="2"/>
  <c r="CP13" i="2"/>
  <c r="CO13" i="2"/>
  <c r="CQ12" i="2"/>
  <c r="CP12" i="2"/>
  <c r="CO12" i="2"/>
  <c r="CQ11" i="2"/>
  <c r="CP11" i="2"/>
  <c r="CO11" i="2"/>
  <c r="CQ10" i="2"/>
  <c r="CP10" i="2"/>
  <c r="CO10" i="2"/>
  <c r="CQ9" i="2"/>
  <c r="CP9" i="2"/>
  <c r="CO9" i="2"/>
  <c r="CQ8" i="2"/>
  <c r="CP8" i="2"/>
  <c r="CO8" i="2"/>
  <c r="CQ7" i="2"/>
  <c r="CP7" i="2"/>
  <c r="CO7" i="2"/>
  <c r="CQ6" i="2"/>
  <c r="CP6" i="2"/>
  <c r="CO6" i="2"/>
  <c r="CQ5" i="2"/>
  <c r="CP5" i="2"/>
  <c r="CO5" i="2"/>
  <c r="CI65" i="2"/>
  <c r="CH65" i="2"/>
  <c r="CG65" i="2"/>
  <c r="CI64" i="2"/>
  <c r="CH64" i="2"/>
  <c r="CG64" i="2"/>
  <c r="CI63" i="2"/>
  <c r="CH63" i="2"/>
  <c r="CG63" i="2"/>
  <c r="CI62" i="2"/>
  <c r="CH62" i="2"/>
  <c r="CG62" i="2"/>
  <c r="CI61" i="2"/>
  <c r="CH61" i="2"/>
  <c r="CG61" i="2"/>
  <c r="CI60" i="2"/>
  <c r="CH60" i="2"/>
  <c r="CG60" i="2"/>
  <c r="CI59" i="2"/>
  <c r="CH59" i="2"/>
  <c r="CG59" i="2"/>
  <c r="CI58" i="2"/>
  <c r="CH58" i="2"/>
  <c r="CG58" i="2"/>
  <c r="CI57" i="2"/>
  <c r="CH57" i="2"/>
  <c r="CG57" i="2"/>
  <c r="CI56" i="2"/>
  <c r="CH56" i="2"/>
  <c r="CG56" i="2"/>
  <c r="CI55" i="2"/>
  <c r="CH55" i="2"/>
  <c r="CG55" i="2"/>
  <c r="CI54" i="2"/>
  <c r="CH54" i="2"/>
  <c r="CG54" i="2"/>
  <c r="CI53" i="2"/>
  <c r="CH53" i="2"/>
  <c r="CG53" i="2"/>
  <c r="CI52" i="2"/>
  <c r="CH52" i="2"/>
  <c r="CG52" i="2"/>
  <c r="CI51" i="2"/>
  <c r="CH51" i="2"/>
  <c r="CG51" i="2"/>
  <c r="CI50" i="2"/>
  <c r="CH50" i="2"/>
  <c r="CG50" i="2"/>
  <c r="CI49" i="2"/>
  <c r="CH49" i="2"/>
  <c r="CG49" i="2"/>
  <c r="CI48" i="2"/>
  <c r="CH48" i="2"/>
  <c r="CG48" i="2"/>
  <c r="CI47" i="2"/>
  <c r="CH47" i="2"/>
  <c r="CG47" i="2"/>
  <c r="CI46" i="2"/>
  <c r="CH46" i="2"/>
  <c r="CG46" i="2"/>
  <c r="CI45" i="2"/>
  <c r="CH45" i="2"/>
  <c r="CG45" i="2"/>
  <c r="CI44" i="2"/>
  <c r="CH44" i="2"/>
  <c r="CG44" i="2"/>
  <c r="CI43" i="2"/>
  <c r="CH43" i="2"/>
  <c r="CG43" i="2"/>
  <c r="CI42" i="2"/>
  <c r="CH42" i="2"/>
  <c r="CG42" i="2"/>
  <c r="CI41" i="2"/>
  <c r="CH41" i="2"/>
  <c r="CG41" i="2"/>
  <c r="CI40" i="2"/>
  <c r="CH40" i="2"/>
  <c r="CG40" i="2"/>
  <c r="CI39" i="2"/>
  <c r="CH39" i="2"/>
  <c r="CG39" i="2"/>
  <c r="CI38" i="2"/>
  <c r="CH38" i="2"/>
  <c r="CG38" i="2"/>
  <c r="CI37" i="2"/>
  <c r="CH37" i="2"/>
  <c r="CG37" i="2"/>
  <c r="CI36" i="2"/>
  <c r="CH36" i="2"/>
  <c r="CG36" i="2"/>
  <c r="CI35" i="2"/>
  <c r="CH35" i="2"/>
  <c r="CG35" i="2"/>
  <c r="CI34" i="2"/>
  <c r="CH34" i="2"/>
  <c r="CG34" i="2"/>
  <c r="CI33" i="2"/>
  <c r="CH33" i="2"/>
  <c r="CG33" i="2"/>
  <c r="CI32" i="2"/>
  <c r="CH32" i="2"/>
  <c r="CG32" i="2"/>
  <c r="CI31" i="2"/>
  <c r="CH31" i="2"/>
  <c r="CG31" i="2"/>
  <c r="CI30" i="2"/>
  <c r="CH30" i="2"/>
  <c r="CG30" i="2"/>
  <c r="CI29" i="2"/>
  <c r="CH29" i="2"/>
  <c r="CG29" i="2"/>
  <c r="CI28" i="2"/>
  <c r="CH28" i="2"/>
  <c r="CG28" i="2"/>
  <c r="CI27" i="2"/>
  <c r="CH27" i="2"/>
  <c r="CG27" i="2"/>
  <c r="CI26" i="2"/>
  <c r="CH26" i="2"/>
  <c r="CG26" i="2"/>
  <c r="CI25" i="2"/>
  <c r="CH25" i="2"/>
  <c r="CG25" i="2"/>
  <c r="CI24" i="2"/>
  <c r="CH24" i="2"/>
  <c r="CG24" i="2"/>
  <c r="CI23" i="2"/>
  <c r="CH23" i="2"/>
  <c r="CG23" i="2"/>
  <c r="CI22" i="2"/>
  <c r="CH22" i="2"/>
  <c r="CG22" i="2"/>
  <c r="CI21" i="2"/>
  <c r="CH21" i="2"/>
  <c r="CG21" i="2"/>
  <c r="CI20" i="2"/>
  <c r="CH20" i="2"/>
  <c r="CG20" i="2"/>
  <c r="CI19" i="2"/>
  <c r="CH19" i="2"/>
  <c r="CG19" i="2"/>
  <c r="CI18" i="2"/>
  <c r="CH18" i="2"/>
  <c r="CG18" i="2"/>
  <c r="CI17" i="2"/>
  <c r="CH17" i="2"/>
  <c r="CG17" i="2"/>
  <c r="CI16" i="2"/>
  <c r="CH16" i="2"/>
  <c r="CG16" i="2"/>
  <c r="CI15" i="2"/>
  <c r="CH15" i="2"/>
  <c r="CG15" i="2"/>
  <c r="CI14" i="2"/>
  <c r="CH14" i="2"/>
  <c r="CG14" i="2"/>
  <c r="CI13" i="2"/>
  <c r="CH13" i="2"/>
  <c r="CG13" i="2"/>
  <c r="CI12" i="2"/>
  <c r="CH12" i="2"/>
  <c r="CG12" i="2"/>
  <c r="CI11" i="2"/>
  <c r="CH11" i="2"/>
  <c r="CG11" i="2"/>
  <c r="CI10" i="2"/>
  <c r="CH10" i="2"/>
  <c r="CG10" i="2"/>
  <c r="CI9" i="2"/>
  <c r="CH9" i="2"/>
  <c r="CG9" i="2"/>
  <c r="CI8" i="2"/>
  <c r="CH8" i="2"/>
  <c r="CG8" i="2"/>
  <c r="CI7" i="2"/>
  <c r="CH7" i="2"/>
  <c r="CG7" i="2"/>
  <c r="CI6" i="2"/>
  <c r="CH6" i="2"/>
  <c r="CG6" i="2"/>
  <c r="CI5" i="2"/>
  <c r="CH5" i="2"/>
  <c r="CG5" i="2"/>
  <c r="CA65" i="2"/>
  <c r="BZ65" i="2"/>
  <c r="BY65" i="2"/>
  <c r="CA64" i="2"/>
  <c r="BZ64" i="2"/>
  <c r="BY64" i="2"/>
  <c r="CA63" i="2"/>
  <c r="BZ63" i="2"/>
  <c r="BY63" i="2"/>
  <c r="CA62" i="2"/>
  <c r="BZ62" i="2"/>
  <c r="BY62" i="2"/>
  <c r="CA61" i="2"/>
  <c r="BZ61" i="2"/>
  <c r="BY61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K65" i="2"/>
  <c r="BJ65" i="2"/>
  <c r="BI65" i="2"/>
  <c r="BK64" i="2"/>
  <c r="BJ64" i="2"/>
  <c r="BI64" i="2"/>
  <c r="BK63" i="2"/>
  <c r="BJ63" i="2"/>
  <c r="BI63" i="2"/>
  <c r="BK62" i="2"/>
  <c r="BJ62" i="2"/>
  <c r="BI62" i="2"/>
  <c r="BK61" i="2"/>
  <c r="BJ61" i="2"/>
  <c r="BI61" i="2"/>
  <c r="BK60" i="2"/>
  <c r="BJ60" i="2"/>
  <c r="BI60" i="2"/>
  <c r="BK59" i="2"/>
  <c r="BJ59" i="2"/>
  <c r="BI59" i="2"/>
  <c r="BK58" i="2"/>
  <c r="BJ58" i="2"/>
  <c r="BI58" i="2"/>
  <c r="BK57" i="2"/>
  <c r="BJ57" i="2"/>
  <c r="BI57" i="2"/>
  <c r="BK56" i="2"/>
  <c r="BJ56" i="2"/>
  <c r="BI56" i="2"/>
  <c r="BK55" i="2"/>
  <c r="BJ55" i="2"/>
  <c r="BI55" i="2"/>
  <c r="BK54" i="2"/>
  <c r="BJ54" i="2"/>
  <c r="BI54" i="2"/>
  <c r="BK53" i="2"/>
  <c r="BJ53" i="2"/>
  <c r="BI53" i="2"/>
  <c r="BK52" i="2"/>
  <c r="BJ52" i="2"/>
  <c r="BI52" i="2"/>
  <c r="BK51" i="2"/>
  <c r="BJ51" i="2"/>
  <c r="BI51" i="2"/>
  <c r="BK50" i="2"/>
  <c r="BJ50" i="2"/>
  <c r="BI50" i="2"/>
  <c r="BK49" i="2"/>
  <c r="BJ49" i="2"/>
  <c r="BI49" i="2"/>
  <c r="BK48" i="2"/>
  <c r="BJ48" i="2"/>
  <c r="BI48" i="2"/>
  <c r="BK47" i="2"/>
  <c r="BJ47" i="2"/>
  <c r="BI47" i="2"/>
  <c r="BK46" i="2"/>
  <c r="BJ46" i="2"/>
  <c r="BI46" i="2"/>
  <c r="BK45" i="2"/>
  <c r="BJ45" i="2"/>
  <c r="BI45" i="2"/>
  <c r="BK44" i="2"/>
  <c r="BJ44" i="2"/>
  <c r="BI44" i="2"/>
  <c r="BK43" i="2"/>
  <c r="BJ43" i="2"/>
  <c r="BI43" i="2"/>
  <c r="BK42" i="2"/>
  <c r="BJ42" i="2"/>
  <c r="BI42" i="2"/>
  <c r="BK41" i="2"/>
  <c r="BJ41" i="2"/>
  <c r="BI41" i="2"/>
  <c r="BK40" i="2"/>
  <c r="BJ40" i="2"/>
  <c r="BI40" i="2"/>
  <c r="BK39" i="2"/>
  <c r="BJ39" i="2"/>
  <c r="BI39" i="2"/>
  <c r="BK38" i="2"/>
  <c r="BJ38" i="2"/>
  <c r="BI38" i="2"/>
  <c r="BK37" i="2"/>
  <c r="BJ37" i="2"/>
  <c r="BI37" i="2"/>
  <c r="BK36" i="2"/>
  <c r="BJ36" i="2"/>
  <c r="BI36" i="2"/>
  <c r="BK35" i="2"/>
  <c r="BJ35" i="2"/>
  <c r="BI35" i="2"/>
  <c r="BK34" i="2"/>
  <c r="BJ34" i="2"/>
  <c r="BI34" i="2"/>
  <c r="BK33" i="2"/>
  <c r="BJ33" i="2"/>
  <c r="BI33" i="2"/>
  <c r="BK32" i="2"/>
  <c r="BJ32" i="2"/>
  <c r="BI32" i="2"/>
  <c r="BK31" i="2"/>
  <c r="BJ31" i="2"/>
  <c r="BI31" i="2"/>
  <c r="BK30" i="2"/>
  <c r="BJ30" i="2"/>
  <c r="BI30" i="2"/>
  <c r="BK29" i="2"/>
  <c r="BJ29" i="2"/>
  <c r="BI29" i="2"/>
  <c r="BK28" i="2"/>
  <c r="BJ28" i="2"/>
  <c r="BI28" i="2"/>
  <c r="BK27" i="2"/>
  <c r="BJ27" i="2"/>
  <c r="BI27" i="2"/>
  <c r="BK26" i="2"/>
  <c r="BJ26" i="2"/>
  <c r="BI26" i="2"/>
  <c r="BK25" i="2"/>
  <c r="BJ25" i="2"/>
  <c r="BI25" i="2"/>
  <c r="BK24" i="2"/>
  <c r="BJ24" i="2"/>
  <c r="BI24" i="2"/>
  <c r="BK23" i="2"/>
  <c r="BJ23" i="2"/>
  <c r="BI23" i="2"/>
  <c r="BK22" i="2"/>
  <c r="BJ22" i="2"/>
  <c r="BI22" i="2"/>
  <c r="BK21" i="2"/>
  <c r="BJ21" i="2"/>
  <c r="BI21" i="2"/>
  <c r="BK20" i="2"/>
  <c r="BJ20" i="2"/>
  <c r="BI20" i="2"/>
  <c r="BK19" i="2"/>
  <c r="BJ19" i="2"/>
  <c r="BI19" i="2"/>
  <c r="BK18" i="2"/>
  <c r="BJ18" i="2"/>
  <c r="BI18" i="2"/>
  <c r="BK17" i="2"/>
  <c r="BJ17" i="2"/>
  <c r="BI17" i="2"/>
  <c r="BK16" i="2"/>
  <c r="BJ16" i="2"/>
  <c r="BI16" i="2"/>
  <c r="BK15" i="2"/>
  <c r="BJ15" i="2"/>
  <c r="BI15" i="2"/>
  <c r="BK14" i="2"/>
  <c r="BJ14" i="2"/>
  <c r="BI14" i="2"/>
  <c r="BK13" i="2"/>
  <c r="BJ13" i="2"/>
  <c r="BI13" i="2"/>
  <c r="BK12" i="2"/>
  <c r="BJ12" i="2"/>
  <c r="BI12" i="2"/>
  <c r="BK11" i="2"/>
  <c r="BJ11" i="2"/>
  <c r="BI11" i="2"/>
  <c r="BK10" i="2"/>
  <c r="BJ10" i="2"/>
  <c r="BI10" i="2"/>
  <c r="BK9" i="2"/>
  <c r="BJ9" i="2"/>
  <c r="BI9" i="2"/>
  <c r="BK8" i="2"/>
  <c r="BJ8" i="2"/>
  <c r="BI8" i="2"/>
  <c r="BK7" i="2"/>
  <c r="BJ7" i="2"/>
  <c r="BI7" i="2"/>
  <c r="BK6" i="2"/>
  <c r="BJ6" i="2"/>
  <c r="BI6" i="2"/>
  <c r="BK5" i="2"/>
  <c r="BJ5" i="2"/>
  <c r="BI5" i="2"/>
  <c r="BC65" i="2"/>
  <c r="BB65" i="2"/>
  <c r="BA65" i="2"/>
  <c r="BC64" i="2"/>
  <c r="BB64" i="2"/>
  <c r="BA64" i="2"/>
  <c r="BC63" i="2"/>
  <c r="BB63" i="2"/>
  <c r="BA63" i="2"/>
  <c r="BC62" i="2"/>
  <c r="BB62" i="2"/>
  <c r="BA62" i="2"/>
  <c r="BC61" i="2"/>
  <c r="BB61" i="2"/>
  <c r="BA61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54" i="2"/>
  <c r="N54" i="2"/>
  <c r="M54" i="2"/>
  <c r="O53" i="2"/>
  <c r="N53" i="2"/>
  <c r="M53" i="2"/>
  <c r="O42" i="2"/>
  <c r="N42" i="2"/>
  <c r="M42" i="2"/>
  <c r="O41" i="2"/>
  <c r="N41" i="2"/>
  <c r="M41" i="2"/>
  <c r="O30" i="2"/>
  <c r="N30" i="2"/>
  <c r="M30" i="2"/>
  <c r="O29" i="2"/>
  <c r="N29" i="2"/>
  <c r="M29" i="2"/>
  <c r="O18" i="2"/>
  <c r="N18" i="2"/>
  <c r="M18" i="2"/>
  <c r="O17" i="2"/>
  <c r="N17" i="2"/>
  <c r="M17" i="2"/>
  <c r="O6" i="2"/>
  <c r="N6" i="2"/>
  <c r="M6" i="2"/>
  <c r="O5" i="2"/>
  <c r="N5" i="2"/>
  <c r="M5" i="2"/>
  <c r="O16" i="2"/>
  <c r="N16" i="2"/>
  <c r="M16" i="2"/>
  <c r="G16" i="2"/>
  <c r="F16" i="2"/>
  <c r="E16" i="2"/>
  <c r="O15" i="2"/>
  <c r="N15" i="2"/>
  <c r="M15" i="2"/>
  <c r="G15" i="2"/>
  <c r="F15" i="2"/>
  <c r="E15" i="2"/>
  <c r="O14" i="2"/>
  <c r="N14" i="2"/>
  <c r="M14" i="2"/>
  <c r="G14" i="2"/>
  <c r="F14" i="2"/>
  <c r="E14" i="2"/>
  <c r="O13" i="2"/>
  <c r="N13" i="2"/>
  <c r="M13" i="2"/>
  <c r="G13" i="2"/>
  <c r="F13" i="2"/>
  <c r="E13" i="2"/>
  <c r="O12" i="2"/>
  <c r="N12" i="2"/>
  <c r="M12" i="2"/>
  <c r="G12" i="2"/>
  <c r="F12" i="2"/>
  <c r="E12" i="2"/>
  <c r="O11" i="2"/>
  <c r="N11" i="2"/>
  <c r="M11" i="2"/>
  <c r="G11" i="2"/>
  <c r="F11" i="2"/>
  <c r="E11" i="2"/>
  <c r="O10" i="2"/>
  <c r="N10" i="2"/>
  <c r="M10" i="2"/>
  <c r="G10" i="2"/>
  <c r="F10" i="2"/>
  <c r="E10" i="2"/>
  <c r="O9" i="2"/>
  <c r="N9" i="2"/>
  <c r="M9" i="2"/>
  <c r="G9" i="2"/>
  <c r="F9" i="2"/>
  <c r="E9" i="2"/>
  <c r="O8" i="2"/>
  <c r="N8" i="2"/>
  <c r="M8" i="2"/>
  <c r="G8" i="2"/>
  <c r="F8" i="2"/>
  <c r="E8" i="2"/>
  <c r="O7" i="2"/>
  <c r="N7" i="2"/>
  <c r="M7" i="2"/>
  <c r="G7" i="2"/>
  <c r="F7" i="2"/>
  <c r="E7" i="2"/>
  <c r="E19" i="2"/>
  <c r="F19" i="2"/>
  <c r="G19" i="2"/>
  <c r="M19" i="2"/>
  <c r="N19" i="2"/>
  <c r="O19" i="2"/>
  <c r="E20" i="2"/>
  <c r="F20" i="2"/>
  <c r="G20" i="2"/>
  <c r="M20" i="2"/>
  <c r="N20" i="2"/>
  <c r="O20" i="2"/>
  <c r="E21" i="2"/>
  <c r="F21" i="2"/>
  <c r="G21" i="2"/>
  <c r="M21" i="2"/>
  <c r="N21" i="2"/>
  <c r="O21" i="2"/>
  <c r="E22" i="2"/>
  <c r="F22" i="2"/>
  <c r="G22" i="2"/>
  <c r="M22" i="2"/>
  <c r="N22" i="2"/>
  <c r="O22" i="2"/>
  <c r="E23" i="2"/>
  <c r="F23" i="2"/>
  <c r="G23" i="2"/>
  <c r="M23" i="2"/>
  <c r="N23" i="2"/>
  <c r="O23" i="2"/>
  <c r="E24" i="2"/>
  <c r="F24" i="2"/>
  <c r="G24" i="2"/>
  <c r="M24" i="2"/>
  <c r="N24" i="2"/>
  <c r="O24" i="2"/>
  <c r="E25" i="2"/>
  <c r="F25" i="2"/>
  <c r="G25" i="2"/>
  <c r="M25" i="2"/>
  <c r="N25" i="2"/>
  <c r="O25" i="2"/>
  <c r="E26" i="2"/>
  <c r="F26" i="2"/>
  <c r="G26" i="2"/>
  <c r="M26" i="2"/>
  <c r="N26" i="2"/>
  <c r="O26" i="2"/>
  <c r="E27" i="2"/>
  <c r="F27" i="2"/>
  <c r="G27" i="2"/>
  <c r="M27" i="2"/>
  <c r="N27" i="2"/>
  <c r="O27" i="2"/>
  <c r="E28" i="2"/>
  <c r="F28" i="2"/>
  <c r="G28" i="2"/>
  <c r="M28" i="2"/>
  <c r="N28" i="2"/>
  <c r="O28" i="2"/>
  <c r="E31" i="2"/>
  <c r="F31" i="2"/>
  <c r="G31" i="2"/>
  <c r="M31" i="2"/>
  <c r="N31" i="2"/>
  <c r="O31" i="2"/>
  <c r="E32" i="2"/>
  <c r="F32" i="2"/>
  <c r="G32" i="2"/>
  <c r="M32" i="2"/>
  <c r="N32" i="2"/>
  <c r="O32" i="2"/>
  <c r="E33" i="2"/>
  <c r="F33" i="2"/>
  <c r="G33" i="2"/>
  <c r="M33" i="2"/>
  <c r="N33" i="2"/>
  <c r="O33" i="2"/>
  <c r="E34" i="2"/>
  <c r="F34" i="2"/>
  <c r="G34" i="2"/>
  <c r="M34" i="2"/>
  <c r="N34" i="2"/>
  <c r="O34" i="2"/>
  <c r="E35" i="2"/>
  <c r="F35" i="2"/>
  <c r="G35" i="2"/>
  <c r="M35" i="2"/>
  <c r="N35" i="2"/>
  <c r="O35" i="2"/>
  <c r="E36" i="2"/>
  <c r="F36" i="2"/>
  <c r="G36" i="2"/>
  <c r="M36" i="2"/>
  <c r="N36" i="2"/>
  <c r="O36" i="2"/>
  <c r="E37" i="2"/>
  <c r="F37" i="2"/>
  <c r="G37" i="2"/>
  <c r="M37" i="2"/>
  <c r="N37" i="2"/>
  <c r="O37" i="2"/>
  <c r="E38" i="2"/>
  <c r="F38" i="2"/>
  <c r="G38" i="2"/>
  <c r="M38" i="2"/>
  <c r="N38" i="2"/>
  <c r="O38" i="2"/>
  <c r="E39" i="2"/>
  <c r="F39" i="2"/>
  <c r="G39" i="2"/>
  <c r="M39" i="2"/>
  <c r="N39" i="2"/>
  <c r="O39" i="2"/>
  <c r="E40" i="2"/>
  <c r="F40" i="2"/>
  <c r="G40" i="2"/>
  <c r="M40" i="2"/>
  <c r="N40" i="2"/>
  <c r="O40" i="2"/>
  <c r="E43" i="2"/>
  <c r="F43" i="2"/>
  <c r="G43" i="2"/>
  <c r="M43" i="2"/>
  <c r="N43" i="2"/>
  <c r="O43" i="2"/>
  <c r="E44" i="2"/>
  <c r="F44" i="2"/>
  <c r="G44" i="2"/>
  <c r="M44" i="2"/>
  <c r="N44" i="2"/>
  <c r="O44" i="2"/>
  <c r="E45" i="2"/>
  <c r="F45" i="2"/>
  <c r="G45" i="2"/>
  <c r="M45" i="2"/>
  <c r="N45" i="2"/>
  <c r="O45" i="2"/>
  <c r="E46" i="2"/>
  <c r="F46" i="2"/>
  <c r="G46" i="2"/>
  <c r="M46" i="2"/>
  <c r="N46" i="2"/>
  <c r="O46" i="2"/>
  <c r="E47" i="2"/>
  <c r="F47" i="2"/>
  <c r="G47" i="2"/>
  <c r="M47" i="2"/>
  <c r="N47" i="2"/>
  <c r="O47" i="2"/>
  <c r="E48" i="2"/>
  <c r="F48" i="2"/>
  <c r="G48" i="2"/>
  <c r="M48" i="2"/>
  <c r="N48" i="2"/>
  <c r="O48" i="2"/>
  <c r="E49" i="2"/>
  <c r="F49" i="2"/>
  <c r="G49" i="2"/>
  <c r="M49" i="2"/>
  <c r="N49" i="2"/>
  <c r="O49" i="2"/>
  <c r="E50" i="2"/>
  <c r="F50" i="2"/>
  <c r="G50" i="2"/>
  <c r="M50" i="2"/>
  <c r="N50" i="2"/>
  <c r="O50" i="2"/>
  <c r="E51" i="2"/>
  <c r="F51" i="2"/>
  <c r="G51" i="2"/>
  <c r="M51" i="2"/>
  <c r="N51" i="2"/>
  <c r="O51" i="2"/>
  <c r="E52" i="2"/>
  <c r="F52" i="2"/>
  <c r="G52" i="2"/>
  <c r="M52" i="2"/>
  <c r="N52" i="2"/>
  <c r="O52" i="2"/>
  <c r="E55" i="2"/>
  <c r="F55" i="2"/>
  <c r="G55" i="2"/>
  <c r="M55" i="2"/>
  <c r="N55" i="2"/>
  <c r="O55" i="2"/>
  <c r="E56" i="2"/>
  <c r="F56" i="2"/>
  <c r="G56" i="2"/>
  <c r="M56" i="2"/>
  <c r="N56" i="2"/>
  <c r="O56" i="2"/>
  <c r="E57" i="2"/>
  <c r="F57" i="2"/>
  <c r="G57" i="2"/>
  <c r="M57" i="2"/>
  <c r="N57" i="2"/>
  <c r="O57" i="2"/>
  <c r="E58" i="2"/>
  <c r="F58" i="2"/>
  <c r="G58" i="2"/>
  <c r="M58" i="2"/>
  <c r="N58" i="2"/>
  <c r="O58" i="2"/>
  <c r="E59" i="2"/>
  <c r="F59" i="2"/>
  <c r="G59" i="2"/>
  <c r="M59" i="2"/>
  <c r="N59" i="2"/>
  <c r="O59" i="2"/>
  <c r="E60" i="2"/>
  <c r="F60" i="2"/>
  <c r="G60" i="2"/>
  <c r="M60" i="2"/>
  <c r="N60" i="2"/>
  <c r="O60" i="2"/>
  <c r="E61" i="2"/>
  <c r="F61" i="2"/>
  <c r="G61" i="2"/>
  <c r="M61" i="2"/>
  <c r="N61" i="2"/>
  <c r="O61" i="2"/>
  <c r="E62" i="2"/>
  <c r="F62" i="2"/>
  <c r="G62" i="2"/>
  <c r="M62" i="2"/>
  <c r="N62" i="2"/>
  <c r="O62" i="2"/>
  <c r="E63" i="2"/>
  <c r="F63" i="2"/>
  <c r="G63" i="2"/>
  <c r="M63" i="2"/>
  <c r="N63" i="2"/>
  <c r="O63" i="2"/>
  <c r="E64" i="2"/>
  <c r="F64" i="2"/>
  <c r="G64" i="2"/>
  <c r="M64" i="2"/>
  <c r="N64" i="2"/>
  <c r="O64" i="2"/>
  <c r="E65" i="2"/>
  <c r="F65" i="2"/>
  <c r="G65" i="2"/>
  <c r="M65" i="2"/>
  <c r="N65" i="2"/>
  <c r="O65" i="2"/>
</calcChain>
</file>

<file path=xl/sharedStrings.xml><?xml version="1.0" encoding="utf-8"?>
<sst xmlns="http://schemas.openxmlformats.org/spreadsheetml/2006/main" count="910" uniqueCount="48">
  <si>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</si>
  <si>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</si>
  <si>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</si>
  <si>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</si>
  <si>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</si>
  <si>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</si>
  <si>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</si>
  <si>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</si>
  <si>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</si>
  <si>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</si>
  <si>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</si>
  <si>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</si>
  <si>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</si>
  <si>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</si>
  <si>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</si>
  <si>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</si>
  <si>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</si>
  <si>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</si>
  <si>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</si>
  <si>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t>25Q4W13</t>
    <phoneticPr fontId="16" type="noConversion"/>
  </si>
  <si>
    <t>25Q4W12</t>
    <phoneticPr fontId="16" type="noConversion"/>
  </si>
  <si>
    <t>25Q4W11</t>
    <phoneticPr fontId="16" type="noConversion"/>
  </si>
  <si>
    <t>25Q4W10</t>
    <phoneticPr fontId="16" type="noConversion"/>
  </si>
  <si>
    <t>25Q4W9</t>
    <phoneticPr fontId="16" type="noConversion"/>
  </si>
  <si>
    <t>25Q4W8</t>
    <phoneticPr fontId="16" type="noConversion"/>
  </si>
  <si>
    <t>25Q4W7</t>
    <phoneticPr fontId="16" type="noConversion"/>
  </si>
  <si>
    <t>25Q4W6</t>
    <phoneticPr fontId="16" type="noConversion"/>
  </si>
  <si>
    <t>25Q4W5</t>
    <phoneticPr fontId="16" type="noConversion"/>
  </si>
  <si>
    <t>25Q4W4</t>
    <phoneticPr fontId="16" type="noConversion"/>
  </si>
  <si>
    <t>25Q4W3</t>
    <phoneticPr fontId="16" type="noConversion"/>
  </si>
  <si>
    <t>25Q4W2</t>
    <phoneticPr fontId="16" type="noConversion"/>
  </si>
  <si>
    <t>25Q4W1</t>
    <phoneticPr fontId="16" type="noConversion"/>
  </si>
  <si>
    <t>Traffic</t>
    <phoneticPr fontId="2" type="noConversion"/>
  </si>
  <si>
    <t>Trade in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</si>
  <si>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</si>
  <si>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06/29~07/05</t>
    <phoneticPr fontId="2" type="noConversion"/>
  </si>
  <si>
    <t>07/20~07/26</t>
    <phoneticPr fontId="2" type="noConversion"/>
  </si>
  <si>
    <t>07/27~08/02</t>
    <phoneticPr fontId="2" type="noConversion"/>
  </si>
  <si>
    <t>08/03~08/09</t>
    <phoneticPr fontId="2" type="noConversion"/>
  </si>
  <si>
    <t>08/10~08/16</t>
    <phoneticPr fontId="2" type="noConversion"/>
  </si>
  <si>
    <t>08/17~08/23</t>
    <phoneticPr fontId="2" type="noConversion"/>
  </si>
  <si>
    <t>08/24~08/30</t>
    <phoneticPr fontId="2" type="noConversion"/>
  </si>
  <si>
    <t>8/31~09/06</t>
    <phoneticPr fontId="2" type="noConversion"/>
  </si>
  <si>
    <t>09/07~09/13</t>
    <phoneticPr fontId="2" type="noConversion"/>
  </si>
  <si>
    <t>09/14~09/20</t>
    <phoneticPr fontId="2" type="noConversion"/>
  </si>
  <si>
    <t>09/21~09/27</t>
    <phoneticPr fontId="2" type="noConversion"/>
  </si>
  <si>
    <t>07/13~07/19</t>
    <phoneticPr fontId="2" type="noConversion"/>
  </si>
  <si>
    <t>07/06~07/12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</si>
</sst>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sz val="12"/>
      <color theme="1"/>
      <name val="Microsoft JhengHei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sz val="9"/>
      <name val="Wawati TC"/>
      <family val="3"/>
      <charset val="136"/>
    </font>
    <font>
      <b/>
      <sz val="10"/>
      <name val="Microsoft JhengHei"/>
      <family val="2"/>
      <charset val="136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9" fontId="3" fillId="0" borderId="0" xfId="1" applyFont="1" applyFill="1" applyAlignment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9" fontId="6" fillId="0" borderId="0" xfId="1" applyFont="1" applyFill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5" borderId="0" xfId="0" applyFont="1" applyFill="1" applyAlignment="1">
      <alignment horizontal="right" vertical="center"/>
    </xf>
    <xf numFmtId="176" fontId="8" fillId="5" borderId="0" xfId="0" applyNumberFormat="1" applyFont="1" applyFill="1">
      <alignment vertical="center"/>
    </xf>
    <xf numFmtId="0" fontId="8" fillId="5" borderId="0" xfId="0" applyFont="1" applyFill="1">
      <alignment vertical="center"/>
    </xf>
    <xf numFmtId="0" fontId="10" fillId="5" borderId="0" xfId="2" applyFont="1" applyFill="1" applyAlignment="1">
      <alignment vertical="center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0" fontId="15" fillId="0" borderId="0" xfId="2" applyFont="1" applyAlignment="1">
      <alignment vertical="center"/>
    </xf>
    <xf numFmtId="0" fontId="18" fillId="0" borderId="0" xfId="0" applyFont="1">
      <alignment vertical="center"/>
    </xf>
    <xf numFmtId="176" fontId="18" fillId="0" borderId="0" xfId="0" applyNumberFormat="1" applyFont="1">
      <alignment vertical="center"/>
    </xf>
    <xf numFmtId="0" fontId="19" fillId="6" borderId="0" xfId="0" applyFont="1" applyFill="1">
      <alignment vertical="center"/>
    </xf>
    <xf numFmtId="176" fontId="19" fillId="6" borderId="0" xfId="0" applyNumberFormat="1" applyFont="1" applyFill="1">
      <alignment vertical="center"/>
    </xf>
    <xf numFmtId="0" fontId="10" fillId="0" borderId="0" xfId="2" applyFont="1" applyAlignment="1">
      <alignment vertical="center"/>
    </xf>
    <xf numFmtId="176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4" fillId="7" borderId="0" xfId="2" applyFill="1" applyAlignment="1">
      <alignment vertical="center"/>
    </xf>
    <xf numFmtId="49" fontId="13" fillId="0" borderId="0" xfId="0" applyNumberFormat="1" applyFont="1">
      <alignment vertical="center"/>
    </xf>
    <xf numFmtId="49" fontId="12" fillId="0" borderId="0" xfId="2" applyNumberFormat="1" applyFont="1" applyAlignment="1">
      <alignment vertical="center"/>
    </xf>
    <xf numFmtId="49" fontId="11" fillId="0" borderId="0" xfId="0" applyNumberFormat="1" applyFont="1">
      <alignment vertical="center"/>
    </xf>
  </cellXfs>
  <cellStyles count="3">
    <cellStyle name="一般" xfId="0" builtinId="0"/>
    <cellStyle name="一般 2" xfId="2" xr:uid="{192CBD17-F931-C446-830D-6B13FA863796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7B9F-AACA-A143-BB57-8F3FF74A305D}">
  <dimension ref="A1:CY65"/>
  <sheetViews>
    <sheetView tabSelected="1" zoomScale="81" workbookViewId="0">
      <pane xSplit="1" topLeftCell="B1" activePane="topRight" state="frozen"/>
      <selection pane="topRight" activeCell="F1" sqref="F1"/>
    </sheetView>
  </sheetViews>
  <sheetFormatPr baseColWidth="10" defaultRowHeight="15"/>
  <cols>
    <col min="1" max="1" width="11" bestFit="1" customWidth="1"/>
    <col min="3" max="3" width="11" bestFit="1" customWidth="1"/>
    <col min="4" max="4" width="11.6640625" bestFit="1" customWidth="1"/>
    <col min="5" max="7" width="11" bestFit="1" customWidth="1"/>
    <col min="8" max="8" width="5" customWidth="1"/>
    <col min="9" max="9" width="11" bestFit="1" customWidth="1"/>
    <col min="11" max="11" width="11" bestFit="1" customWidth="1"/>
    <col min="12" max="12" width="11.6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1.6640625" bestFit="1" customWidth="1"/>
    <col min="21" max="21" width="11" bestFit="1" customWidth="1"/>
    <col min="22" max="22" width="11.6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1.6640625" bestFit="1" customWidth="1"/>
    <col min="29" max="29" width="11" bestFit="1" customWidth="1"/>
    <col min="30" max="30" width="12.3320312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1.6640625" bestFit="1" customWidth="1"/>
    <col min="37" max="39" width="11" bestFit="1" customWidth="1"/>
    <col min="40" max="40" width="5" customWidth="1"/>
    <col min="41" max="41" width="11" bestFit="1" customWidth="1"/>
    <col min="43" max="43" width="11" bestFit="1" customWidth="1"/>
    <col min="44" max="44" width="11.6640625" bestFit="1" customWidth="1"/>
    <col min="45" max="47" width="11" bestFit="1" customWidth="1"/>
    <col min="48" max="48" width="5" customWidth="1"/>
    <col min="49" max="49" width="11" bestFit="1" customWidth="1"/>
    <col min="51" max="51" width="11" bestFit="1" customWidth="1"/>
    <col min="52" max="52" width="11.6640625" bestFit="1" customWidth="1"/>
    <col min="53" max="55" width="11" bestFit="1" customWidth="1"/>
    <col min="56" max="56" width="5" customWidth="1"/>
    <col min="57" max="57" width="13.1640625" bestFit="1" customWidth="1"/>
    <col min="58" max="58" width="11.83203125" bestFit="1" customWidth="1"/>
    <col min="59" max="59" width="15.5" bestFit="1" customWidth="1"/>
    <col min="60" max="60" width="18.6640625" style="1" bestFit="1" customWidth="1"/>
    <col min="61" max="62" width="10" style="1" customWidth="1"/>
    <col min="63" max="63" width="8.83203125" style="1" bestFit="1" customWidth="1"/>
    <col min="64" max="64" width="5" style="1" customWidth="1"/>
    <col min="65" max="65" width="13.1640625" bestFit="1" customWidth="1"/>
    <col min="67" max="67" width="11" bestFit="1" customWidth="1"/>
    <col min="68" max="68" width="11.6640625" bestFit="1" customWidth="1"/>
    <col min="69" max="71" width="11" bestFit="1" customWidth="1"/>
    <col min="72" max="72" width="6.1640625" customWidth="1"/>
    <col min="76" max="76" width="13" bestFit="1" customWidth="1"/>
    <col min="78" max="78" width="12.33203125" bestFit="1" customWidth="1"/>
    <col min="80" max="80" width="6.1640625" customWidth="1"/>
    <col min="84" max="84" width="13" bestFit="1" customWidth="1"/>
    <col min="86" max="86" width="12" customWidth="1"/>
    <col min="88" max="88" width="6.1640625" customWidth="1"/>
    <col min="92" max="92" width="14.1640625" bestFit="1" customWidth="1"/>
    <col min="94" max="94" width="14.1640625" bestFit="1" customWidth="1"/>
    <col min="96" max="96" width="6.1640625" customWidth="1"/>
    <col min="100" max="100" width="14.1640625" bestFit="1" customWidth="1"/>
    <col min="102" max="102" width="14.1640625" bestFit="1" customWidth="1"/>
  </cols>
  <sheetData>
    <row r="1" spans="1:103" s="24" customFormat="1" ht="28" customHeight="1">
      <c r="A1" s="26" t="s">
        <v>31</v>
      </c>
      <c r="B1" s="26"/>
      <c r="D1" s="25"/>
      <c r="I1" s="26" t="s">
        <v>30</v>
      </c>
      <c r="J1" s="26"/>
      <c r="L1" s="25"/>
      <c r="Q1" s="26" t="s">
        <v>29</v>
      </c>
      <c r="R1" s="26"/>
      <c r="T1" s="25"/>
      <c r="Y1" s="26" t="s">
        <v>28</v>
      </c>
      <c r="Z1" s="26"/>
      <c r="AB1" s="25"/>
      <c r="AG1" s="26" t="s">
        <v>27</v>
      </c>
      <c r="AH1" s="26"/>
      <c r="AJ1" s="25"/>
      <c r="AO1" s="26" t="s">
        <v>26</v>
      </c>
      <c r="AP1" s="26"/>
      <c r="AR1" s="25"/>
      <c r="AW1" s="26" t="s">
        <v>25</v>
      </c>
      <c r="AX1" s="26"/>
      <c r="AZ1" s="25"/>
      <c r="BE1" s="26" t="s">
        <v>24</v>
      </c>
      <c r="BF1" s="26"/>
      <c r="BH1" s="25"/>
      <c r="BI1" s="25"/>
      <c r="BJ1" s="25"/>
      <c r="BK1" s="25"/>
      <c r="BL1" s="25"/>
      <c r="BM1" s="26" t="s">
        <v>23</v>
      </c>
      <c r="BN1" s="26"/>
      <c r="BP1" s="25"/>
      <c r="BU1" s="26" t="s">
        <v>22</v>
      </c>
      <c r="BV1" s="26"/>
      <c r="BX1" s="25"/>
      <c r="CC1" s="26" t="s">
        <v>21</v>
      </c>
      <c r="CD1" s="26"/>
      <c r="CF1" s="25"/>
      <c r="CK1" s="26" t="s">
        <v>20</v>
      </c>
      <c r="CL1" s="26"/>
      <c r="CN1" s="25"/>
      <c r="CS1" s="26" t="s">
        <v>19</v>
      </c>
      <c r="CT1" s="26"/>
      <c r="CV1" s="25"/>
    </row>
    <row r="2" spans="1:103" s="40" customFormat="1" ht="18">
      <c r="A2" s="38" t="s">
        <v>35</v>
      </c>
      <c r="B2" s="39"/>
      <c r="I2" s="38" t="s">
        <v>47</v>
      </c>
      <c r="K2" s="38"/>
      <c r="M2" s="38"/>
      <c r="O2" s="38"/>
      <c r="Q2" s="39" t="s">
        <v>46</v>
      </c>
      <c r="S2" s="38"/>
      <c r="U2" s="38"/>
      <c r="W2" s="38"/>
      <c r="Y2" s="40" t="s">
        <v>36</v>
      </c>
      <c r="Z2" s="39"/>
      <c r="AG2" s="40" t="s">
        <v>37</v>
      </c>
      <c r="AK2" s="39"/>
      <c r="AL2" s="39"/>
      <c r="AO2" s="40" t="s">
        <v>38</v>
      </c>
      <c r="AQ2" s="39"/>
      <c r="AR2" s="39"/>
      <c r="AW2" s="39" t="s">
        <v>39</v>
      </c>
      <c r="AX2" s="39"/>
      <c r="BE2" s="40" t="s">
        <v>40</v>
      </c>
      <c r="BM2" s="40" t="s">
        <v>41</v>
      </c>
      <c r="BN2" s="39"/>
      <c r="BU2" s="39" t="s">
        <v>42</v>
      </c>
      <c r="BV2" s="39"/>
      <c r="CC2" s="39" t="s">
        <v>43</v>
      </c>
      <c r="CD2" s="39"/>
      <c r="CK2" s="39" t="s">
        <v>44</v>
      </c>
      <c r="CL2" s="39"/>
      <c r="CS2" s="39" t="s">
        <v>45</v>
      </c>
      <c r="CT2" s="39"/>
    </row>
    <row r="3" spans="1:103">
      <c r="A3" s="15"/>
      <c r="B3" s="15"/>
      <c r="D3" s="1"/>
      <c r="I3" s="15"/>
      <c r="J3" s="15"/>
      <c r="L3" s="1"/>
      <c r="Q3" s="15"/>
      <c r="R3" s="15"/>
      <c r="T3" s="1"/>
      <c r="Y3" s="15"/>
      <c r="Z3" s="15"/>
      <c r="AB3" s="1"/>
      <c r="AG3" s="15"/>
      <c r="AH3" s="15"/>
      <c r="AJ3" s="1"/>
      <c r="AO3" s="15"/>
      <c r="AP3" s="15"/>
      <c r="AR3" s="1"/>
      <c r="AW3" s="15"/>
      <c r="AX3" s="15"/>
      <c r="AZ3" s="1"/>
      <c r="BE3" s="15"/>
      <c r="BF3" s="15"/>
      <c r="BM3" s="15"/>
      <c r="BN3" s="15"/>
      <c r="BP3" s="1"/>
      <c r="BU3" s="15"/>
      <c r="BV3" s="15"/>
      <c r="BX3" s="1"/>
      <c r="CC3" s="15"/>
      <c r="CD3" s="15"/>
      <c r="CF3" s="1"/>
      <c r="CK3" s="15"/>
      <c r="CL3" s="15"/>
      <c r="CN3" s="1"/>
      <c r="CS3" s="15"/>
      <c r="CT3" s="15"/>
      <c r="CV3" s="1"/>
    </row>
    <row r="4" spans="1:103" s="19" customFormat="1" ht="22" customHeight="1">
      <c r="A4" s="23" t="s">
        <v>18</v>
      </c>
      <c r="B4" s="23" t="s">
        <v>17</v>
      </c>
      <c r="C4" s="22" t="s">
        <v>16</v>
      </c>
      <c r="D4" s="21" t="s">
        <v>15</v>
      </c>
      <c r="E4" s="20" t="s">
        <v>14</v>
      </c>
      <c r="F4" s="20" t="s">
        <v>14</v>
      </c>
      <c r="G4" s="20" t="s">
        <v>14</v>
      </c>
      <c r="I4" s="23" t="s">
        <v>18</v>
      </c>
      <c r="J4" s="23" t="s">
        <v>17</v>
      </c>
      <c r="K4" s="22" t="s">
        <v>16</v>
      </c>
      <c r="L4" s="21" t="s">
        <v>15</v>
      </c>
      <c r="M4" s="20" t="s">
        <v>14</v>
      </c>
      <c r="N4" s="20" t="s">
        <v>14</v>
      </c>
      <c r="O4" s="20" t="s">
        <v>14</v>
      </c>
      <c r="Q4" s="23" t="s">
        <v>18</v>
      </c>
      <c r="R4" s="23" t="s">
        <v>17</v>
      </c>
      <c r="S4" s="22" t="s">
        <v>16</v>
      </c>
      <c r="T4" s="21" t="s">
        <v>15</v>
      </c>
      <c r="U4" s="20" t="s">
        <v>14</v>
      </c>
      <c r="V4" s="20" t="s">
        <v>14</v>
      </c>
      <c r="W4" s="20" t="s">
        <v>14</v>
      </c>
      <c r="Y4" s="23" t="s">
        <v>18</v>
      </c>
      <c r="Z4" s="23" t="s">
        <v>17</v>
      </c>
      <c r="AA4" s="22" t="s">
        <v>16</v>
      </c>
      <c r="AB4" s="21" t="s">
        <v>15</v>
      </c>
      <c r="AC4" s="20" t="s">
        <v>14</v>
      </c>
      <c r="AD4" s="20" t="s">
        <v>14</v>
      </c>
      <c r="AE4" s="20" t="s">
        <v>14</v>
      </c>
      <c r="AG4" s="23" t="s">
        <v>18</v>
      </c>
      <c r="AH4" s="23" t="s">
        <v>17</v>
      </c>
      <c r="AI4" s="22" t="s">
        <v>16</v>
      </c>
      <c r="AJ4" s="21" t="s">
        <v>15</v>
      </c>
      <c r="AK4" s="20" t="s">
        <v>14</v>
      </c>
      <c r="AL4" s="20" t="s">
        <v>14</v>
      </c>
      <c r="AM4" s="20" t="s">
        <v>14</v>
      </c>
      <c r="AO4" s="23" t="s">
        <v>18</v>
      </c>
      <c r="AP4" s="23" t="s">
        <v>17</v>
      </c>
      <c r="AQ4" s="22" t="s">
        <v>16</v>
      </c>
      <c r="AR4" s="21" t="s">
        <v>15</v>
      </c>
      <c r="AS4" s="20" t="s">
        <v>14</v>
      </c>
      <c r="AT4" s="20" t="s">
        <v>14</v>
      </c>
      <c r="AU4" s="20" t="s">
        <v>14</v>
      </c>
      <c r="AW4" s="23" t="s">
        <v>18</v>
      </c>
      <c r="AX4" s="23" t="s">
        <v>17</v>
      </c>
      <c r="AY4" s="22" t="s">
        <v>16</v>
      </c>
      <c r="AZ4" s="21" t="s">
        <v>15</v>
      </c>
      <c r="BA4" s="20" t="s">
        <v>14</v>
      </c>
      <c r="BB4" s="20" t="s">
        <v>14</v>
      </c>
      <c r="BC4" s="20" t="s">
        <v>14</v>
      </c>
      <c r="BE4" s="23" t="s">
        <v>18</v>
      </c>
      <c r="BF4" s="23" t="s">
        <v>17</v>
      </c>
      <c r="BG4" s="22" t="s">
        <v>16</v>
      </c>
      <c r="BH4" s="21" t="s">
        <v>15</v>
      </c>
      <c r="BI4" s="20" t="s">
        <v>14</v>
      </c>
      <c r="BJ4" s="20" t="s">
        <v>14</v>
      </c>
      <c r="BK4" s="20" t="s">
        <v>14</v>
      </c>
      <c r="BM4" s="23" t="s">
        <v>18</v>
      </c>
      <c r="BN4" s="23" t="s">
        <v>17</v>
      </c>
      <c r="BO4" s="22" t="s">
        <v>16</v>
      </c>
      <c r="BP4" s="21" t="s">
        <v>15</v>
      </c>
      <c r="BQ4" s="20" t="s">
        <v>14</v>
      </c>
      <c r="BR4" s="20" t="s">
        <v>14</v>
      </c>
      <c r="BS4" s="20" t="s">
        <v>14</v>
      </c>
      <c r="BU4" s="23" t="s">
        <v>18</v>
      </c>
      <c r="BV4" s="23" t="s">
        <v>17</v>
      </c>
      <c r="BW4" s="22" t="s">
        <v>16</v>
      </c>
      <c r="BX4" s="21" t="s">
        <v>15</v>
      </c>
      <c r="BY4" s="20" t="s">
        <v>14</v>
      </c>
      <c r="BZ4" s="20" t="s">
        <v>14</v>
      </c>
      <c r="CA4" s="20" t="s">
        <v>14</v>
      </c>
      <c r="CC4" s="23" t="s">
        <v>18</v>
      </c>
      <c r="CD4" s="23" t="s">
        <v>17</v>
      </c>
      <c r="CE4" s="22" t="s">
        <v>16</v>
      </c>
      <c r="CF4" s="21" t="s">
        <v>15</v>
      </c>
      <c r="CG4" s="20" t="s">
        <v>14</v>
      </c>
      <c r="CH4" s="20" t="s">
        <v>14</v>
      </c>
      <c r="CI4" s="20" t="s">
        <v>14</v>
      </c>
      <c r="CK4" s="23" t="s">
        <v>18</v>
      </c>
      <c r="CL4" s="23" t="s">
        <v>17</v>
      </c>
      <c r="CM4" s="22" t="s">
        <v>16</v>
      </c>
      <c r="CN4" s="21" t="s">
        <v>15</v>
      </c>
      <c r="CO4" s="20" t="s">
        <v>14</v>
      </c>
      <c r="CP4" s="20" t="s">
        <v>14</v>
      </c>
      <c r="CQ4" s="20" t="s">
        <v>14</v>
      </c>
      <c r="CS4" s="23" t="s">
        <v>18</v>
      </c>
      <c r="CT4" s="23" t="s">
        <v>17</v>
      </c>
      <c r="CU4" s="22" t="s">
        <v>16</v>
      </c>
      <c r="CV4" s="21" t="s">
        <v>15</v>
      </c>
      <c r="CW4" s="20" t="s">
        <v>14</v>
      </c>
      <c r="CX4" s="20" t="s">
        <v>14</v>
      </c>
      <c r="CY4" s="20" t="s">
        <v>14</v>
      </c>
    </row>
    <row r="5" spans="1:103" s="19" customFormat="1" ht="22" customHeight="1">
      <c r="A5" s="16">
        <v>75</v>
      </c>
      <c r="B5" s="31" t="s">
        <v>32</v>
      </c>
      <c r="C5" s="12">
        <v>0</v>
      </c>
      <c r="D5" s="14">
        <v>0</v>
      </c>
      <c r="E5" s="33"/>
      <c r="F5" s="33"/>
      <c r="G5" s="33"/>
      <c r="I5" s="16">
        <v>75</v>
      </c>
      <c r="J5" s="31" t="s">
        <v>32</v>
      </c>
      <c r="K5" s="12">
        <v>0</v>
      </c>
      <c r="L5" s="14">
        <v>0</v>
      </c>
      <c r="M5" s="12">
        <f t="shared" ref="M5:M6" si="0">K5-C5</f>
        <v>0</v>
      </c>
      <c r="N5" s="14">
        <f t="shared" ref="N5:N6" si="1">L5-D5</f>
        <v>0</v>
      </c>
      <c r="O5" s="13" t="e">
        <f t="shared" ref="O5:O6" si="2">(L5-D5)/D5</f>
        <v>#DIV/0!</v>
      </c>
      <c r="Q5" s="16">
        <v>75</v>
      </c>
      <c r="R5" s="31" t="s">
        <v>32</v>
      </c>
      <c r="S5" s="12">
        <v>0</v>
      </c>
      <c r="T5" s="14">
        <v>0</v>
      </c>
      <c r="U5" s="12">
        <f t="shared" ref="U5:U65" si="3">S5-K5</f>
        <v>0</v>
      </c>
      <c r="V5" s="14">
        <f t="shared" ref="V5:V65" si="4">T5-L5</f>
        <v>0</v>
      </c>
      <c r="W5" s="13" t="e">
        <f t="shared" ref="W5:W65" si="5">(T5-L5)/L5</f>
        <v>#DIV/0!</v>
      </c>
      <c r="Y5" s="16">
        <v>75</v>
      </c>
      <c r="Z5" s="31" t="s">
        <v>32</v>
      </c>
      <c r="AA5" s="12">
        <v>0</v>
      </c>
      <c r="AB5" s="14">
        <v>0</v>
      </c>
      <c r="AC5" s="12">
        <f t="shared" ref="AC5:AC65" si="6">AA5-S5</f>
        <v>0</v>
      </c>
      <c r="AD5" s="14">
        <f t="shared" ref="AD5:AD65" si="7">AB5-T5</f>
        <v>0</v>
      </c>
      <c r="AE5" s="13" t="e">
        <f t="shared" ref="AE5:AE65" si="8">(AB5-T5)/T5</f>
        <v>#DIV/0!</v>
      </c>
      <c r="AG5" s="16">
        <v>75</v>
      </c>
      <c r="AH5" s="31" t="s">
        <v>32</v>
      </c>
      <c r="AI5" s="12">
        <v>0</v>
      </c>
      <c r="AJ5" s="14">
        <v>0</v>
      </c>
      <c r="AK5" s="12">
        <f t="shared" ref="AK5:AK65" si="9">AI5-AA5</f>
        <v>0</v>
      </c>
      <c r="AL5" s="14">
        <f t="shared" ref="AL5:AL65" si="10">AJ5-AB5</f>
        <v>0</v>
      </c>
      <c r="AM5" s="13" t="e">
        <f t="shared" ref="AM5:AM65" si="11">(AJ5-AB5)/AB5</f>
        <v>#DIV/0!</v>
      </c>
      <c r="AO5" s="16">
        <v>75</v>
      </c>
      <c r="AP5" s="31" t="s">
        <v>32</v>
      </c>
      <c r="AQ5" s="12">
        <v>0</v>
      </c>
      <c r="AR5" s="14">
        <v>0</v>
      </c>
      <c r="AS5" s="12">
        <f t="shared" ref="AS5:AS65" si="12">AQ5-AI5</f>
        <v>0</v>
      </c>
      <c r="AT5" s="14">
        <f t="shared" ref="AT5:AT65" si="13">AR5-AJ5</f>
        <v>0</v>
      </c>
      <c r="AU5" s="13" t="e">
        <f t="shared" ref="AU5:AU65" si="14">(AR5-AJ5)/AJ5</f>
        <v>#DIV/0!</v>
      </c>
      <c r="AW5" s="16">
        <v>75</v>
      </c>
      <c r="AX5" s="31" t="s">
        <v>32</v>
      </c>
      <c r="AY5" s="12">
        <v>0</v>
      </c>
      <c r="AZ5" s="14">
        <v>0</v>
      </c>
      <c r="BA5" s="12">
        <f t="shared" ref="BA5:BA65" si="15">AY5-AQ5</f>
        <v>0</v>
      </c>
      <c r="BB5" s="14">
        <f t="shared" ref="BB5:BB65" si="16">AZ5-AR5</f>
        <v>0</v>
      </c>
      <c r="BC5" s="13" t="e">
        <f t="shared" ref="BC5:BC65" si="17">(AZ5-AR5)/AR5</f>
        <v>#DIV/0!</v>
      </c>
      <c r="BE5" s="16">
        <v>75</v>
      </c>
      <c r="BF5" s="31" t="s">
        <v>32</v>
      </c>
      <c r="BG5" s="12">
        <v>0</v>
      </c>
      <c r="BH5" s="14">
        <v>0</v>
      </c>
      <c r="BI5" s="12">
        <f t="shared" ref="BI5:BI65" si="18">BG5-AY5</f>
        <v>0</v>
      </c>
      <c r="BJ5" s="14">
        <f t="shared" ref="BJ5:BJ65" si="19">BH5-AZ5</f>
        <v>0</v>
      </c>
      <c r="BK5" s="13" t="e">
        <f t="shared" ref="BK5:BK65" si="20">(BH5-AZ5)/AZ5</f>
        <v>#DIV/0!</v>
      </c>
      <c r="BM5" s="16">
        <v>75</v>
      </c>
      <c r="BN5" s="31" t="s">
        <v>32</v>
      </c>
      <c r="BO5" s="12">
        <v>0</v>
      </c>
      <c r="BP5" s="14">
        <v>0</v>
      </c>
      <c r="BQ5" s="12">
        <f t="shared" ref="BQ5:BQ65" si="21">BO5-BG5</f>
        <v>0</v>
      </c>
      <c r="BR5" s="14">
        <f t="shared" ref="BR5:BR65" si="22">BP5-BH5</f>
        <v>0</v>
      </c>
      <c r="BS5" s="13" t="e">
        <f t="shared" ref="BS5:BS65" si="23">(BP5-BH5)/BH5</f>
        <v>#DIV/0!</v>
      </c>
      <c r="BU5" s="16">
        <v>75</v>
      </c>
      <c r="BV5" s="31" t="s">
        <v>32</v>
      </c>
      <c r="BW5" s="12">
        <v>0</v>
      </c>
      <c r="BX5" s="14">
        <v>0</v>
      </c>
      <c r="BY5" s="12">
        <f t="shared" ref="BY5:BY65" si="24">BW5-BO5</f>
        <v>0</v>
      </c>
      <c r="BZ5" s="14">
        <f t="shared" ref="BZ5:BZ65" si="25">BX5-BP5</f>
        <v>0</v>
      </c>
      <c r="CA5" s="13" t="e">
        <f t="shared" ref="CA5:CA65" si="26">(BX5-BP5)/BP5</f>
        <v>#DIV/0!</v>
      </c>
      <c r="CC5" s="16">
        <v>75</v>
      </c>
      <c r="CD5" s="31" t="s">
        <v>32</v>
      </c>
      <c r="CE5" s="12">
        <v>0</v>
      </c>
      <c r="CF5" s="14">
        <v>0</v>
      </c>
      <c r="CG5" s="12">
        <f t="shared" ref="CG5:CG65" si="27">CE5-BW5</f>
        <v>0</v>
      </c>
      <c r="CH5" s="14">
        <f t="shared" ref="CH5:CH65" si="28">CF5-BX5</f>
        <v>0</v>
      </c>
      <c r="CI5" s="13" t="e">
        <f t="shared" ref="CI5:CI65" si="29">(CF5-BX5)/BX5</f>
        <v>#DIV/0!</v>
      </c>
      <c r="CK5" s="16">
        <v>75</v>
      </c>
      <c r="CL5" s="31" t="s">
        <v>32</v>
      </c>
      <c r="CM5" s="12">
        <v>0</v>
      </c>
      <c r="CN5" s="14">
        <v>0</v>
      </c>
      <c r="CO5" s="12">
        <f t="shared" ref="CO5:CO65" si="30">CM5-CE5</f>
        <v>0</v>
      </c>
      <c r="CP5" s="14">
        <f t="shared" ref="CP5:CP65" si="31">CN5-CF5</f>
        <v>0</v>
      </c>
      <c r="CQ5" s="13" t="e">
        <f t="shared" ref="CQ5:CQ65" si="32">(CN5-CF5)/CF5</f>
        <v>#DIV/0!</v>
      </c>
      <c r="CS5" s="16">
        <v>75</v>
      </c>
      <c r="CT5" s="31" t="s">
        <v>32</v>
      </c>
      <c r="CU5" s="19">
        <v>4694</v>
      </c>
      <c r="CV5" s="32">
        <v>0</v>
      </c>
      <c r="CW5" s="12">
        <f t="shared" ref="CW5:CW65" si="33">CU5-CM5</f>
        <v>4694</v>
      </c>
      <c r="CX5" s="14">
        <f t="shared" ref="CX5:CX65" si="34">CV5-CN5</f>
        <v>0</v>
      </c>
      <c r="CY5" s="13" t="e">
        <f t="shared" ref="CY5:CY65" si="35">(CV5-CN5)/CN5</f>
        <v>#DIV/0!</v>
      </c>
    </row>
    <row r="6" spans="1:103" s="19" customFormat="1" ht="22" customHeight="1">
      <c r="A6" s="16"/>
      <c r="B6" s="31" t="s">
        <v>33</v>
      </c>
      <c r="C6" s="12">
        <v>0</v>
      </c>
      <c r="D6" s="14">
        <v>0</v>
      </c>
      <c r="E6" s="33"/>
      <c r="F6" s="33"/>
      <c r="G6" s="33"/>
      <c r="I6" s="16"/>
      <c r="J6" s="31" t="s">
        <v>33</v>
      </c>
      <c r="K6" s="12">
        <v>0</v>
      </c>
      <c r="L6" s="14">
        <v>0</v>
      </c>
      <c r="M6" s="12">
        <f t="shared" si="0"/>
        <v>0</v>
      </c>
      <c r="N6" s="14">
        <f t="shared" si="1"/>
        <v>0</v>
      </c>
      <c r="O6" s="13" t="e">
        <f t="shared" si="2"/>
        <v>#DIV/0!</v>
      </c>
      <c r="Q6" s="16"/>
      <c r="R6" s="31" t="s">
        <v>33</v>
      </c>
      <c r="S6" s="12">
        <v>0</v>
      </c>
      <c r="T6" s="14">
        <v>0</v>
      </c>
      <c r="U6" s="12">
        <f t="shared" si="3"/>
        <v>0</v>
      </c>
      <c r="V6" s="14">
        <f t="shared" si="4"/>
        <v>0</v>
      </c>
      <c r="W6" s="13" t="e">
        <f t="shared" si="5"/>
        <v>#DIV/0!</v>
      </c>
      <c r="Y6" s="16"/>
      <c r="Z6" s="31" t="s">
        <v>33</v>
      </c>
      <c r="AA6" s="12">
        <v>0</v>
      </c>
      <c r="AB6" s="14">
        <v>0</v>
      </c>
      <c r="AC6" s="12">
        <f t="shared" si="6"/>
        <v>0</v>
      </c>
      <c r="AD6" s="14">
        <f t="shared" si="7"/>
        <v>0</v>
      </c>
      <c r="AE6" s="13" t="e">
        <f t="shared" si="8"/>
        <v>#DIV/0!</v>
      </c>
      <c r="AG6" s="16"/>
      <c r="AH6" s="31" t="s">
        <v>33</v>
      </c>
      <c r="AI6" s="12">
        <v>0</v>
      </c>
      <c r="AJ6" s="14">
        <v>0</v>
      </c>
      <c r="AK6" s="12">
        <f t="shared" si="9"/>
        <v>0</v>
      </c>
      <c r="AL6" s="14">
        <f t="shared" si="10"/>
        <v>0</v>
      </c>
      <c r="AM6" s="13" t="e">
        <f t="shared" si="11"/>
        <v>#DIV/0!</v>
      </c>
      <c r="AO6" s="16"/>
      <c r="AP6" s="31" t="s">
        <v>33</v>
      </c>
      <c r="AQ6" s="12">
        <v>0</v>
      </c>
      <c r="AR6" s="14">
        <v>0</v>
      </c>
      <c r="AS6" s="12">
        <f t="shared" si="12"/>
        <v>0</v>
      </c>
      <c r="AT6" s="14">
        <f t="shared" si="13"/>
        <v>0</v>
      </c>
      <c r="AU6" s="13" t="e">
        <f t="shared" si="14"/>
        <v>#DIV/0!</v>
      </c>
      <c r="AW6" s="16"/>
      <c r="AX6" s="31" t="s">
        <v>33</v>
      </c>
      <c r="AY6" s="12">
        <v>0</v>
      </c>
      <c r="AZ6" s="14">
        <v>0</v>
      </c>
      <c r="BA6" s="12">
        <f t="shared" si="15"/>
        <v>0</v>
      </c>
      <c r="BB6" s="14">
        <f t="shared" si="16"/>
        <v>0</v>
      </c>
      <c r="BC6" s="13" t="e">
        <f t="shared" si="17"/>
        <v>#DIV/0!</v>
      </c>
      <c r="BE6" s="16"/>
      <c r="BF6" s="31" t="s">
        <v>33</v>
      </c>
      <c r="BG6" s="12">
        <v>0</v>
      </c>
      <c r="BH6" s="14">
        <v>0</v>
      </c>
      <c r="BI6" s="12">
        <f t="shared" si="18"/>
        <v>0</v>
      </c>
      <c r="BJ6" s="14">
        <f t="shared" si="19"/>
        <v>0</v>
      </c>
      <c r="BK6" s="13" t="e">
        <f t="shared" si="20"/>
        <v>#DIV/0!</v>
      </c>
      <c r="BM6" s="16"/>
      <c r="BN6" s="31" t="s">
        <v>33</v>
      </c>
      <c r="BO6" s="12">
        <v>0</v>
      </c>
      <c r="BP6" s="14">
        <v>0</v>
      </c>
      <c r="BQ6" s="12">
        <f t="shared" si="21"/>
        <v>0</v>
      </c>
      <c r="BR6" s="14">
        <f t="shared" si="22"/>
        <v>0</v>
      </c>
      <c r="BS6" s="13" t="e">
        <f t="shared" si="23"/>
        <v>#DIV/0!</v>
      </c>
      <c r="BU6" s="16"/>
      <c r="BV6" s="31" t="s">
        <v>33</v>
      </c>
      <c r="BW6" s="12">
        <v>0</v>
      </c>
      <c r="BX6" s="14">
        <v>0</v>
      </c>
      <c r="BY6" s="12">
        <f t="shared" si="24"/>
        <v>0</v>
      </c>
      <c r="BZ6" s="14">
        <f t="shared" si="25"/>
        <v>0</v>
      </c>
      <c r="CA6" s="13" t="e">
        <f t="shared" si="26"/>
        <v>#DIV/0!</v>
      </c>
      <c r="CC6" s="16"/>
      <c r="CD6" s="31" t="s">
        <v>33</v>
      </c>
      <c r="CE6" s="12">
        <v>0</v>
      </c>
      <c r="CF6" s="14">
        <v>0</v>
      </c>
      <c r="CG6" s="12">
        <f t="shared" si="27"/>
        <v>0</v>
      </c>
      <c r="CH6" s="14">
        <f t="shared" si="28"/>
        <v>0</v>
      </c>
      <c r="CI6" s="13" t="e">
        <f t="shared" si="29"/>
        <v>#DIV/0!</v>
      </c>
      <c r="CK6" s="16"/>
      <c r="CL6" s="31" t="s">
        <v>33</v>
      </c>
      <c r="CM6" s="12">
        <v>0</v>
      </c>
      <c r="CN6" s="14">
        <v>0</v>
      </c>
      <c r="CO6" s="12">
        <f t="shared" si="30"/>
        <v>0</v>
      </c>
      <c r="CP6" s="14">
        <f t="shared" si="31"/>
        <v>0</v>
      </c>
      <c r="CQ6" s="13" t="e">
        <f t="shared" si="32"/>
        <v>#DIV/0!</v>
      </c>
      <c r="CS6" s="16"/>
      <c r="CT6" s="31" t="s">
        <v>33</v>
      </c>
      <c r="CU6" s="27">
        <v>0</v>
      </c>
      <c r="CV6" s="28">
        <v>0</v>
      </c>
      <c r="CW6" s="12">
        <f t="shared" si="33"/>
        <v>0</v>
      </c>
      <c r="CX6" s="14">
        <f t="shared" si="34"/>
        <v>0</v>
      </c>
      <c r="CY6" s="13" t="e">
        <f t="shared" si="35"/>
        <v>#DIV/0!</v>
      </c>
    </row>
    <row r="7" spans="1:103" s="12" customFormat="1" ht="20" customHeight="1">
      <c r="A7" s="16"/>
      <c r="B7" s="15" t="s">
        <v>10</v>
      </c>
      <c r="C7" s="12">
        <v>0</v>
      </c>
      <c r="D7" s="14">
        <v>0</v>
      </c>
      <c r="E7" s="12" t="e">
        <f>C7-#REF!</f>
        <v>#REF!</v>
      </c>
      <c r="F7" s="14" t="e">
        <f>D7-#REF!</f>
        <v>#REF!</v>
      </c>
      <c r="G7" s="13" t="e">
        <f>(D7-#REF!)/#REF!</f>
        <v>#REF!</v>
      </c>
      <c r="I7" s="16"/>
      <c r="J7" s="15" t="s">
        <v>10</v>
      </c>
      <c r="K7" s="12">
        <v>0</v>
      </c>
      <c r="L7" s="14">
        <v>0</v>
      </c>
      <c r="M7" s="12">
        <f t="shared" ref="M7:M16" si="36">K7-C7</f>
        <v>0</v>
      </c>
      <c r="N7" s="14">
        <f t="shared" ref="N7:N16" si="37">L7-D7</f>
        <v>0</v>
      </c>
      <c r="O7" s="13" t="e">
        <f t="shared" ref="O7:O16" si="38">(L7-D7)/D7</f>
        <v>#DIV/0!</v>
      </c>
      <c r="Q7" s="16"/>
      <c r="R7" s="15" t="s">
        <v>10</v>
      </c>
      <c r="S7" s="12">
        <v>0</v>
      </c>
      <c r="T7" s="14">
        <v>0</v>
      </c>
      <c r="U7" s="12">
        <f t="shared" si="3"/>
        <v>0</v>
      </c>
      <c r="V7" s="14">
        <f t="shared" si="4"/>
        <v>0</v>
      </c>
      <c r="W7" s="13" t="e">
        <f t="shared" si="5"/>
        <v>#DIV/0!</v>
      </c>
      <c r="Y7" s="16"/>
      <c r="Z7" s="15" t="s">
        <v>10</v>
      </c>
      <c r="AA7" s="12">
        <v>0</v>
      </c>
      <c r="AB7" s="14">
        <v>0</v>
      </c>
      <c r="AC7" s="12">
        <f t="shared" si="6"/>
        <v>0</v>
      </c>
      <c r="AD7" s="14">
        <f t="shared" si="7"/>
        <v>0</v>
      </c>
      <c r="AE7" s="13" t="e">
        <f t="shared" si="8"/>
        <v>#DIV/0!</v>
      </c>
      <c r="AG7" s="16"/>
      <c r="AH7" s="15" t="s">
        <v>10</v>
      </c>
      <c r="AI7" s="12">
        <v>0</v>
      </c>
      <c r="AJ7" s="14">
        <v>0</v>
      </c>
      <c r="AK7" s="12">
        <f t="shared" si="9"/>
        <v>0</v>
      </c>
      <c r="AL7" s="14">
        <f t="shared" si="10"/>
        <v>0</v>
      </c>
      <c r="AM7" s="13" t="e">
        <f t="shared" si="11"/>
        <v>#DIV/0!</v>
      </c>
      <c r="AO7" s="16"/>
      <c r="AP7" s="15" t="s">
        <v>10</v>
      </c>
      <c r="AQ7" s="12">
        <v>0</v>
      </c>
      <c r="AR7" s="14">
        <v>0</v>
      </c>
      <c r="AS7" s="12">
        <f t="shared" si="12"/>
        <v>0</v>
      </c>
      <c r="AT7" s="14">
        <f t="shared" si="13"/>
        <v>0</v>
      </c>
      <c r="AU7" s="13" t="e">
        <f t="shared" si="14"/>
        <v>#DIV/0!</v>
      </c>
      <c r="AW7" s="16"/>
      <c r="AX7" s="15" t="s">
        <v>10</v>
      </c>
      <c r="AY7" s="12">
        <v>0</v>
      </c>
      <c r="AZ7" s="14">
        <v>0</v>
      </c>
      <c r="BA7" s="12">
        <f t="shared" si="15"/>
        <v>0</v>
      </c>
      <c r="BB7" s="14">
        <f t="shared" si="16"/>
        <v>0</v>
      </c>
      <c r="BC7" s="13" t="e">
        <f t="shared" si="17"/>
        <v>#DIV/0!</v>
      </c>
      <c r="BE7" s="16"/>
      <c r="BF7" s="15" t="s">
        <v>10</v>
      </c>
      <c r="BG7" s="27">
        <v>0</v>
      </c>
      <c r="BH7" s="28">
        <v>0</v>
      </c>
      <c r="BI7" s="12">
        <f t="shared" si="18"/>
        <v>0</v>
      </c>
      <c r="BJ7" s="14">
        <f t="shared" si="19"/>
        <v>0</v>
      </c>
      <c r="BK7" s="13" t="e">
        <f t="shared" si="20"/>
        <v>#DIV/0!</v>
      </c>
      <c r="BL7" s="17"/>
      <c r="BM7" s="16"/>
      <c r="BN7" s="15" t="s">
        <v>10</v>
      </c>
      <c r="BO7" s="27">
        <v>0</v>
      </c>
      <c r="BP7" s="28">
        <v>0</v>
      </c>
      <c r="BQ7" s="12">
        <f t="shared" si="21"/>
        <v>0</v>
      </c>
      <c r="BR7" s="14">
        <f t="shared" si="22"/>
        <v>0</v>
      </c>
      <c r="BS7" s="13" t="e">
        <f t="shared" si="23"/>
        <v>#DIV/0!</v>
      </c>
      <c r="BU7" s="16"/>
      <c r="BV7" s="15" t="s">
        <v>10</v>
      </c>
      <c r="BW7" s="27">
        <v>0</v>
      </c>
      <c r="BX7" s="28">
        <v>0</v>
      </c>
      <c r="BY7" s="12">
        <f t="shared" si="24"/>
        <v>0</v>
      </c>
      <c r="BZ7" s="14">
        <f t="shared" si="25"/>
        <v>0</v>
      </c>
      <c r="CA7" s="13" t="e">
        <f t="shared" si="26"/>
        <v>#DIV/0!</v>
      </c>
      <c r="CC7" s="16"/>
      <c r="CD7" s="15" t="s">
        <v>10</v>
      </c>
      <c r="CE7" s="27">
        <v>0</v>
      </c>
      <c r="CF7" s="28">
        <v>0</v>
      </c>
      <c r="CG7" s="12">
        <f t="shared" si="27"/>
        <v>0</v>
      </c>
      <c r="CH7" s="14">
        <f t="shared" si="28"/>
        <v>0</v>
      </c>
      <c r="CI7" s="13" t="e">
        <f t="shared" si="29"/>
        <v>#DIV/0!</v>
      </c>
      <c r="CK7" s="16"/>
      <c r="CL7" s="15" t="s">
        <v>10</v>
      </c>
      <c r="CM7" s="27">
        <v>0</v>
      </c>
      <c r="CN7" s="28">
        <v>0</v>
      </c>
      <c r="CO7" s="12">
        <f t="shared" si="30"/>
        <v>0</v>
      </c>
      <c r="CP7" s="14">
        <f t="shared" si="31"/>
        <v>0</v>
      </c>
      <c r="CQ7" s="13" t="e">
        <f t="shared" si="32"/>
        <v>#DIV/0!</v>
      </c>
      <c r="CS7" s="16"/>
      <c r="CT7" s="15" t="s">
        <v>10</v>
      </c>
      <c r="CU7" s="27">
        <v>0</v>
      </c>
      <c r="CV7" s="28">
        <v>0</v>
      </c>
      <c r="CW7" s="12">
        <f t="shared" si="33"/>
        <v>0</v>
      </c>
      <c r="CX7" s="14">
        <f t="shared" si="34"/>
        <v>0</v>
      </c>
      <c r="CY7" s="13" t="e">
        <f t="shared" si="35"/>
        <v>#DIV/0!</v>
      </c>
    </row>
    <row r="8" spans="1:103" s="12" customFormat="1" ht="20" customHeight="1">
      <c r="A8" s="16"/>
      <c r="B8" s="15" t="s">
        <v>9</v>
      </c>
      <c r="C8" s="12">
        <v>0</v>
      </c>
      <c r="D8" s="14">
        <v>0</v>
      </c>
      <c r="E8" s="12" t="e">
        <f>C8-#REF!</f>
        <v>#REF!</v>
      </c>
      <c r="F8" s="14" t="e">
        <f>D8-#REF!</f>
        <v>#REF!</v>
      </c>
      <c r="G8" s="13" t="e">
        <f>(D8-#REF!)/#REF!</f>
        <v>#REF!</v>
      </c>
      <c r="I8" s="16"/>
      <c r="J8" s="15" t="s">
        <v>9</v>
      </c>
      <c r="K8" s="12">
        <v>0</v>
      </c>
      <c r="L8" s="14">
        <v>0</v>
      </c>
      <c r="M8" s="12">
        <f t="shared" si="36"/>
        <v>0</v>
      </c>
      <c r="N8" s="14">
        <f t="shared" si="37"/>
        <v>0</v>
      </c>
      <c r="O8" s="13" t="e">
        <f t="shared" si="38"/>
        <v>#DIV/0!</v>
      </c>
      <c r="Q8" s="16"/>
      <c r="R8" s="15" t="s">
        <v>9</v>
      </c>
      <c r="S8" s="12">
        <v>0</v>
      </c>
      <c r="T8" s="14">
        <v>0</v>
      </c>
      <c r="U8" s="12">
        <f t="shared" si="3"/>
        <v>0</v>
      </c>
      <c r="V8" s="14">
        <f t="shared" si="4"/>
        <v>0</v>
      </c>
      <c r="W8" s="13" t="e">
        <f t="shared" si="5"/>
        <v>#DIV/0!</v>
      </c>
      <c r="Y8" s="16"/>
      <c r="Z8" s="15" t="s">
        <v>9</v>
      </c>
      <c r="AA8" s="12">
        <v>0</v>
      </c>
      <c r="AB8" s="14">
        <v>0</v>
      </c>
      <c r="AC8" s="12">
        <f t="shared" si="6"/>
        <v>0</v>
      </c>
      <c r="AD8" s="14">
        <f t="shared" si="7"/>
        <v>0</v>
      </c>
      <c r="AE8" s="13" t="e">
        <f t="shared" si="8"/>
        <v>#DIV/0!</v>
      </c>
      <c r="AG8" s="16"/>
      <c r="AH8" s="15" t="s">
        <v>9</v>
      </c>
      <c r="AI8" s="12">
        <v>0</v>
      </c>
      <c r="AJ8" s="14">
        <v>0</v>
      </c>
      <c r="AK8" s="12">
        <f t="shared" si="9"/>
        <v>0</v>
      </c>
      <c r="AL8" s="14">
        <f t="shared" si="10"/>
        <v>0</v>
      </c>
      <c r="AM8" s="13" t="e">
        <f t="shared" si="11"/>
        <v>#DIV/0!</v>
      </c>
      <c r="AO8" s="16"/>
      <c r="AP8" s="15" t="s">
        <v>9</v>
      </c>
      <c r="AQ8" s="12">
        <v>0</v>
      </c>
      <c r="AR8" s="14">
        <v>0</v>
      </c>
      <c r="AS8" s="12">
        <f t="shared" si="12"/>
        <v>0</v>
      </c>
      <c r="AT8" s="14">
        <f t="shared" si="13"/>
        <v>0</v>
      </c>
      <c r="AU8" s="13" t="e">
        <f t="shared" si="14"/>
        <v>#DIV/0!</v>
      </c>
      <c r="AW8" s="16"/>
      <c r="AX8" s="15" t="s">
        <v>9</v>
      </c>
      <c r="AY8" s="12">
        <v>0</v>
      </c>
      <c r="AZ8" s="14">
        <v>0</v>
      </c>
      <c r="BA8" s="12">
        <f t="shared" si="15"/>
        <v>0</v>
      </c>
      <c r="BB8" s="14">
        <f t="shared" si="16"/>
        <v>0</v>
      </c>
      <c r="BC8" s="13" t="e">
        <f t="shared" si="17"/>
        <v>#DIV/0!</v>
      </c>
      <c r="BE8" s="16"/>
      <c r="BF8" s="15" t="s">
        <v>9</v>
      </c>
      <c r="BG8" s="27">
        <v>0</v>
      </c>
      <c r="BH8" s="28">
        <v>0</v>
      </c>
      <c r="BI8" s="12">
        <f t="shared" si="18"/>
        <v>0</v>
      </c>
      <c r="BJ8" s="14">
        <f t="shared" si="19"/>
        <v>0</v>
      </c>
      <c r="BK8" s="13" t="e">
        <f t="shared" si="20"/>
        <v>#DIV/0!</v>
      </c>
      <c r="BL8" s="17"/>
      <c r="BM8" s="16"/>
      <c r="BN8" s="15" t="s">
        <v>9</v>
      </c>
      <c r="BO8" s="27">
        <v>0</v>
      </c>
      <c r="BP8" s="28">
        <v>0</v>
      </c>
      <c r="BQ8" s="12">
        <f t="shared" si="21"/>
        <v>0</v>
      </c>
      <c r="BR8" s="14">
        <f t="shared" si="22"/>
        <v>0</v>
      </c>
      <c r="BS8" s="13" t="e">
        <f t="shared" si="23"/>
        <v>#DIV/0!</v>
      </c>
      <c r="BU8" s="16"/>
      <c r="BV8" s="15" t="s">
        <v>9</v>
      </c>
      <c r="BW8" s="27">
        <v>0</v>
      </c>
      <c r="BX8" s="28">
        <v>0</v>
      </c>
      <c r="BY8" s="12">
        <f t="shared" si="24"/>
        <v>0</v>
      </c>
      <c r="BZ8" s="14">
        <f t="shared" si="25"/>
        <v>0</v>
      </c>
      <c r="CA8" s="13" t="e">
        <f t="shared" si="26"/>
        <v>#DIV/0!</v>
      </c>
      <c r="CC8" s="16"/>
      <c r="CD8" s="15" t="s">
        <v>9</v>
      </c>
      <c r="CE8" s="27">
        <v>0</v>
      </c>
      <c r="CF8" s="28">
        <v>0</v>
      </c>
      <c r="CG8" s="12">
        <f t="shared" si="27"/>
        <v>0</v>
      </c>
      <c r="CH8" s="14">
        <f t="shared" si="28"/>
        <v>0</v>
      </c>
      <c r="CI8" s="13" t="e">
        <f t="shared" si="29"/>
        <v>#DIV/0!</v>
      </c>
      <c r="CK8" s="16"/>
      <c r="CL8" s="15" t="s">
        <v>9</v>
      </c>
      <c r="CM8" s="27">
        <v>0</v>
      </c>
      <c r="CN8" s="28">
        <v>0</v>
      </c>
      <c r="CO8" s="12">
        <f t="shared" si="30"/>
        <v>0</v>
      </c>
      <c r="CP8" s="14">
        <f t="shared" si="31"/>
        <v>0</v>
      </c>
      <c r="CQ8" s="13" t="e">
        <f t="shared" si="32"/>
        <v>#DIV/0!</v>
      </c>
      <c r="CS8" s="16"/>
      <c r="CT8" s="15" t="s">
        <v>9</v>
      </c>
      <c r="CU8" s="27">
        <v>0</v>
      </c>
      <c r="CV8" s="28">
        <v>0</v>
      </c>
      <c r="CW8" s="12">
        <f t="shared" si="33"/>
        <v>0</v>
      </c>
      <c r="CX8" s="14">
        <f t="shared" si="34"/>
        <v>0</v>
      </c>
      <c r="CY8" s="13" t="e">
        <f t="shared" si="35"/>
        <v>#DIV/0!</v>
      </c>
    </row>
    <row r="9" spans="1:103" s="12" customFormat="1" ht="20" customHeight="1">
      <c r="A9" s="16"/>
      <c r="B9" s="15" t="s">
        <v>8</v>
      </c>
      <c r="C9" s="12">
        <v>0</v>
      </c>
      <c r="D9" s="14">
        <v>0</v>
      </c>
      <c r="E9" s="12" t="e">
        <f>C9-#REF!</f>
        <v>#REF!</v>
      </c>
      <c r="F9" s="14" t="e">
        <f>D9-#REF!</f>
        <v>#REF!</v>
      </c>
      <c r="G9" s="13" t="e">
        <f>(D9-#REF!)/#REF!</f>
        <v>#REF!</v>
      </c>
      <c r="I9" s="16"/>
      <c r="J9" s="15" t="s">
        <v>8</v>
      </c>
      <c r="K9" s="12">
        <v>0</v>
      </c>
      <c r="L9" s="14">
        <v>0</v>
      </c>
      <c r="M9" s="12">
        <f t="shared" si="36"/>
        <v>0</v>
      </c>
      <c r="N9" s="14">
        <f t="shared" si="37"/>
        <v>0</v>
      </c>
      <c r="O9" s="13" t="e">
        <f t="shared" si="38"/>
        <v>#DIV/0!</v>
      </c>
      <c r="Q9" s="16"/>
      <c r="R9" s="15" t="s">
        <v>8</v>
      </c>
      <c r="S9" s="12">
        <v>0</v>
      </c>
      <c r="T9" s="14">
        <v>0</v>
      </c>
      <c r="U9" s="12">
        <f t="shared" si="3"/>
        <v>0</v>
      </c>
      <c r="V9" s="14">
        <f t="shared" si="4"/>
        <v>0</v>
      </c>
      <c r="W9" s="13" t="e">
        <f t="shared" si="5"/>
        <v>#DIV/0!</v>
      </c>
      <c r="Y9" s="16"/>
      <c r="Z9" s="15" t="s">
        <v>8</v>
      </c>
      <c r="AA9" s="12">
        <v>0</v>
      </c>
      <c r="AB9" s="14">
        <v>0</v>
      </c>
      <c r="AC9" s="12">
        <f t="shared" si="6"/>
        <v>0</v>
      </c>
      <c r="AD9" s="14">
        <f t="shared" si="7"/>
        <v>0</v>
      </c>
      <c r="AE9" s="13" t="e">
        <f t="shared" si="8"/>
        <v>#DIV/0!</v>
      </c>
      <c r="AG9" s="16"/>
      <c r="AH9" s="15" t="s">
        <v>8</v>
      </c>
      <c r="AI9" s="12">
        <v>0</v>
      </c>
      <c r="AJ9" s="14">
        <v>0</v>
      </c>
      <c r="AK9" s="12">
        <f t="shared" si="9"/>
        <v>0</v>
      </c>
      <c r="AL9" s="14">
        <f t="shared" si="10"/>
        <v>0</v>
      </c>
      <c r="AM9" s="13" t="e">
        <f t="shared" si="11"/>
        <v>#DIV/0!</v>
      </c>
      <c r="AO9" s="16"/>
      <c r="AP9" s="15" t="s">
        <v>8</v>
      </c>
      <c r="AQ9" s="12">
        <v>0</v>
      </c>
      <c r="AR9" s="14">
        <v>0</v>
      </c>
      <c r="AS9" s="12">
        <f t="shared" si="12"/>
        <v>0</v>
      </c>
      <c r="AT9" s="14">
        <f t="shared" si="13"/>
        <v>0</v>
      </c>
      <c r="AU9" s="13" t="e">
        <f t="shared" si="14"/>
        <v>#DIV/0!</v>
      </c>
      <c r="AW9" s="16"/>
      <c r="AX9" s="15" t="s">
        <v>8</v>
      </c>
      <c r="AY9" s="12">
        <v>0</v>
      </c>
      <c r="AZ9" s="14">
        <v>0</v>
      </c>
      <c r="BA9" s="12">
        <f t="shared" si="15"/>
        <v>0</v>
      </c>
      <c r="BB9" s="14">
        <f t="shared" si="16"/>
        <v>0</v>
      </c>
      <c r="BC9" s="13" t="e">
        <f t="shared" si="17"/>
        <v>#DIV/0!</v>
      </c>
      <c r="BE9" s="16"/>
      <c r="BF9" s="15" t="s">
        <v>8</v>
      </c>
      <c r="BG9" s="27">
        <v>0</v>
      </c>
      <c r="BH9" s="28">
        <v>0</v>
      </c>
      <c r="BI9" s="12">
        <f t="shared" si="18"/>
        <v>0</v>
      </c>
      <c r="BJ9" s="14">
        <f t="shared" si="19"/>
        <v>0</v>
      </c>
      <c r="BK9" s="13" t="e">
        <f t="shared" si="20"/>
        <v>#DIV/0!</v>
      </c>
      <c r="BL9" s="17"/>
      <c r="BM9" s="16"/>
      <c r="BN9" s="15" t="s">
        <v>8</v>
      </c>
      <c r="BO9" s="27">
        <v>0</v>
      </c>
      <c r="BP9" s="28">
        <v>0</v>
      </c>
      <c r="BQ9" s="12">
        <f t="shared" si="21"/>
        <v>0</v>
      </c>
      <c r="BR9" s="14">
        <f t="shared" si="22"/>
        <v>0</v>
      </c>
      <c r="BS9" s="13" t="e">
        <f t="shared" si="23"/>
        <v>#DIV/0!</v>
      </c>
      <c r="BU9" s="16"/>
      <c r="BV9" s="15" t="s">
        <v>8</v>
      </c>
      <c r="BW9" s="27">
        <v>0</v>
      </c>
      <c r="BX9" s="28">
        <v>0</v>
      </c>
      <c r="BY9" s="12">
        <f t="shared" si="24"/>
        <v>0</v>
      </c>
      <c r="BZ9" s="14">
        <f t="shared" si="25"/>
        <v>0</v>
      </c>
      <c r="CA9" s="13" t="e">
        <f t="shared" si="26"/>
        <v>#DIV/0!</v>
      </c>
      <c r="CC9" s="16"/>
      <c r="CD9" s="15" t="s">
        <v>8</v>
      </c>
      <c r="CE9" s="27">
        <v>0</v>
      </c>
      <c r="CF9" s="28">
        <v>0</v>
      </c>
      <c r="CG9" s="12">
        <f t="shared" si="27"/>
        <v>0</v>
      </c>
      <c r="CH9" s="14">
        <f t="shared" si="28"/>
        <v>0</v>
      </c>
      <c r="CI9" s="13" t="e">
        <f t="shared" si="29"/>
        <v>#DIV/0!</v>
      </c>
      <c r="CK9" s="16"/>
      <c r="CL9" s="15" t="s">
        <v>8</v>
      </c>
      <c r="CM9" s="27">
        <v>0</v>
      </c>
      <c r="CN9" s="28">
        <v>0</v>
      </c>
      <c r="CO9" s="12">
        <f t="shared" si="30"/>
        <v>0</v>
      </c>
      <c r="CP9" s="14">
        <f t="shared" si="31"/>
        <v>0</v>
      </c>
      <c r="CQ9" s="13" t="e">
        <f t="shared" si="32"/>
        <v>#DIV/0!</v>
      </c>
      <c r="CS9" s="16"/>
      <c r="CT9" s="15" t="s">
        <v>8</v>
      </c>
      <c r="CU9" s="27">
        <v>0</v>
      </c>
      <c r="CV9" s="28">
        <v>0</v>
      </c>
      <c r="CW9" s="12">
        <f t="shared" si="33"/>
        <v>0</v>
      </c>
      <c r="CX9" s="14">
        <f t="shared" si="34"/>
        <v>0</v>
      </c>
      <c r="CY9" s="13" t="e">
        <f t="shared" si="35"/>
        <v>#DIV/0!</v>
      </c>
    </row>
    <row r="10" spans="1:103" s="12" customFormat="1" ht="20" customHeight="1">
      <c r="A10" s="16"/>
      <c r="B10" s="15" t="s">
        <v>7</v>
      </c>
      <c r="C10" s="12">
        <v>0</v>
      </c>
      <c r="D10" s="14">
        <v>0</v>
      </c>
      <c r="E10" s="12" t="e">
        <f>C10-#REF!</f>
        <v>#REF!</v>
      </c>
      <c r="F10" s="14" t="e">
        <f>D10-#REF!</f>
        <v>#REF!</v>
      </c>
      <c r="G10" s="13" t="e">
        <f>(D10-#REF!)/#REF!</f>
        <v>#REF!</v>
      </c>
      <c r="I10" s="16"/>
      <c r="J10" s="15" t="s">
        <v>7</v>
      </c>
      <c r="K10" s="12">
        <v>0</v>
      </c>
      <c r="L10" s="14">
        <v>0</v>
      </c>
      <c r="M10" s="12">
        <f t="shared" si="36"/>
        <v>0</v>
      </c>
      <c r="N10" s="14">
        <f t="shared" si="37"/>
        <v>0</v>
      </c>
      <c r="O10" s="13" t="e">
        <f t="shared" si="38"/>
        <v>#DIV/0!</v>
      </c>
      <c r="Q10" s="16"/>
      <c r="R10" s="15" t="s">
        <v>7</v>
      </c>
      <c r="S10" s="12">
        <v>0</v>
      </c>
      <c r="T10" s="14">
        <v>0</v>
      </c>
      <c r="U10" s="12">
        <f t="shared" si="3"/>
        <v>0</v>
      </c>
      <c r="V10" s="14">
        <f t="shared" si="4"/>
        <v>0</v>
      </c>
      <c r="W10" s="13" t="e">
        <f t="shared" si="5"/>
        <v>#DIV/0!</v>
      </c>
      <c r="Y10" s="16"/>
      <c r="Z10" s="15" t="s">
        <v>7</v>
      </c>
      <c r="AA10" s="12">
        <v>0</v>
      </c>
      <c r="AB10" s="14">
        <v>0</v>
      </c>
      <c r="AC10" s="12">
        <f t="shared" si="6"/>
        <v>0</v>
      </c>
      <c r="AD10" s="14">
        <f t="shared" si="7"/>
        <v>0</v>
      </c>
      <c r="AE10" s="13" t="e">
        <f t="shared" si="8"/>
        <v>#DIV/0!</v>
      </c>
      <c r="AG10" s="16"/>
      <c r="AH10" s="15" t="s">
        <v>7</v>
      </c>
      <c r="AI10" s="12">
        <v>0</v>
      </c>
      <c r="AJ10" s="14">
        <v>0</v>
      </c>
      <c r="AK10" s="12">
        <f t="shared" si="9"/>
        <v>0</v>
      </c>
      <c r="AL10" s="14">
        <f t="shared" si="10"/>
        <v>0</v>
      </c>
      <c r="AM10" s="13" t="e">
        <f t="shared" si="11"/>
        <v>#DIV/0!</v>
      </c>
      <c r="AO10" s="16"/>
      <c r="AP10" s="15" t="s">
        <v>7</v>
      </c>
      <c r="AQ10" s="12">
        <v>0</v>
      </c>
      <c r="AR10" s="14">
        <v>0</v>
      </c>
      <c r="AS10" s="12">
        <f t="shared" si="12"/>
        <v>0</v>
      </c>
      <c r="AT10" s="14">
        <f t="shared" si="13"/>
        <v>0</v>
      </c>
      <c r="AU10" s="13" t="e">
        <f t="shared" si="14"/>
        <v>#DIV/0!</v>
      </c>
      <c r="AW10" s="16"/>
      <c r="AX10" s="15" t="s">
        <v>7</v>
      </c>
      <c r="AY10" s="12">
        <v>0</v>
      </c>
      <c r="AZ10" s="14">
        <v>0</v>
      </c>
      <c r="BA10" s="12">
        <f t="shared" si="15"/>
        <v>0</v>
      </c>
      <c r="BB10" s="14">
        <f t="shared" si="16"/>
        <v>0</v>
      </c>
      <c r="BC10" s="13" t="e">
        <f t="shared" si="17"/>
        <v>#DIV/0!</v>
      </c>
      <c r="BE10" s="16"/>
      <c r="BF10" s="15" t="s">
        <v>7</v>
      </c>
      <c r="BG10" s="27">
        <v>0</v>
      </c>
      <c r="BH10" s="28">
        <v>0</v>
      </c>
      <c r="BI10" s="12">
        <f t="shared" si="18"/>
        <v>0</v>
      </c>
      <c r="BJ10" s="14">
        <f t="shared" si="19"/>
        <v>0</v>
      </c>
      <c r="BK10" s="13" t="e">
        <f t="shared" si="20"/>
        <v>#DIV/0!</v>
      </c>
      <c r="BL10" s="17"/>
      <c r="BM10" s="16"/>
      <c r="BN10" s="15" t="s">
        <v>7</v>
      </c>
      <c r="BO10" s="27">
        <v>0</v>
      </c>
      <c r="BP10" s="28">
        <v>0</v>
      </c>
      <c r="BQ10" s="12">
        <f t="shared" si="21"/>
        <v>0</v>
      </c>
      <c r="BR10" s="14">
        <f t="shared" si="22"/>
        <v>0</v>
      </c>
      <c r="BS10" s="13" t="e">
        <f t="shared" si="23"/>
        <v>#DIV/0!</v>
      </c>
      <c r="BU10" s="16"/>
      <c r="BV10" s="15" t="s">
        <v>7</v>
      </c>
      <c r="BW10" s="27">
        <v>0</v>
      </c>
      <c r="BX10" s="28">
        <v>0</v>
      </c>
      <c r="BY10" s="12">
        <f t="shared" si="24"/>
        <v>0</v>
      </c>
      <c r="BZ10" s="14">
        <f t="shared" si="25"/>
        <v>0</v>
      </c>
      <c r="CA10" s="13" t="e">
        <f t="shared" si="26"/>
        <v>#DIV/0!</v>
      </c>
      <c r="CC10" s="16"/>
      <c r="CD10" s="15" t="s">
        <v>7</v>
      </c>
      <c r="CE10" s="27">
        <v>0</v>
      </c>
      <c r="CF10" s="28">
        <v>0</v>
      </c>
      <c r="CG10" s="12">
        <f t="shared" si="27"/>
        <v>0</v>
      </c>
      <c r="CH10" s="14">
        <f t="shared" si="28"/>
        <v>0</v>
      </c>
      <c r="CI10" s="13" t="e">
        <f t="shared" si="29"/>
        <v>#DIV/0!</v>
      </c>
      <c r="CK10" s="16"/>
      <c r="CL10" s="15" t="s">
        <v>7</v>
      </c>
      <c r="CM10" s="27">
        <v>0</v>
      </c>
      <c r="CN10" s="28">
        <v>0</v>
      </c>
      <c r="CO10" s="12">
        <f t="shared" si="30"/>
        <v>0</v>
      </c>
      <c r="CP10" s="14">
        <f t="shared" si="31"/>
        <v>0</v>
      </c>
      <c r="CQ10" s="13" t="e">
        <f t="shared" si="32"/>
        <v>#DIV/0!</v>
      </c>
      <c r="CS10" s="16"/>
      <c r="CT10" s="15" t="s">
        <v>7</v>
      </c>
      <c r="CU10" s="27">
        <v>0</v>
      </c>
      <c r="CV10" s="28">
        <v>0</v>
      </c>
      <c r="CW10" s="12">
        <f t="shared" si="33"/>
        <v>0</v>
      </c>
      <c r="CX10" s="14">
        <f t="shared" si="34"/>
        <v>0</v>
      </c>
      <c r="CY10" s="13" t="e">
        <f t="shared" si="35"/>
        <v>#DIV/0!</v>
      </c>
    </row>
    <row r="11" spans="1:103" s="12" customFormat="1" ht="20" customHeight="1">
      <c r="A11" s="16"/>
      <c r="B11" s="15" t="s">
        <v>6</v>
      </c>
      <c r="C11" s="12">
        <v>0</v>
      </c>
      <c r="D11" s="14">
        <v>0</v>
      </c>
      <c r="E11" s="12" t="e">
        <f>C11-#REF!</f>
        <v>#REF!</v>
      </c>
      <c r="F11" s="14" t="e">
        <f>D11-#REF!</f>
        <v>#REF!</v>
      </c>
      <c r="G11" s="13" t="e">
        <f>(D11-#REF!)/#REF!</f>
        <v>#REF!</v>
      </c>
      <c r="I11" s="16"/>
      <c r="J11" s="15" t="s">
        <v>6</v>
      </c>
      <c r="K11" s="12">
        <v>0</v>
      </c>
      <c r="L11" s="14">
        <v>0</v>
      </c>
      <c r="M11" s="12">
        <f t="shared" si="36"/>
        <v>0</v>
      </c>
      <c r="N11" s="14">
        <f t="shared" si="37"/>
        <v>0</v>
      </c>
      <c r="O11" s="13" t="e">
        <f t="shared" si="38"/>
        <v>#DIV/0!</v>
      </c>
      <c r="Q11" s="16"/>
      <c r="R11" s="15" t="s">
        <v>6</v>
      </c>
      <c r="S11" s="12">
        <v>0</v>
      </c>
      <c r="T11" s="14">
        <v>0</v>
      </c>
      <c r="U11" s="12">
        <f t="shared" si="3"/>
        <v>0</v>
      </c>
      <c r="V11" s="14">
        <f t="shared" si="4"/>
        <v>0</v>
      </c>
      <c r="W11" s="13" t="e">
        <f t="shared" si="5"/>
        <v>#DIV/0!</v>
      </c>
      <c r="Y11" s="16"/>
      <c r="Z11" s="15" t="s">
        <v>6</v>
      </c>
      <c r="AA11" s="12">
        <v>0</v>
      </c>
      <c r="AB11" s="14">
        <v>0</v>
      </c>
      <c r="AC11" s="12">
        <f t="shared" si="6"/>
        <v>0</v>
      </c>
      <c r="AD11" s="14">
        <f t="shared" si="7"/>
        <v>0</v>
      </c>
      <c r="AE11" s="13" t="e">
        <f t="shared" si="8"/>
        <v>#DIV/0!</v>
      </c>
      <c r="AG11" s="16"/>
      <c r="AH11" s="15" t="s">
        <v>6</v>
      </c>
      <c r="AI11" s="12">
        <v>0</v>
      </c>
      <c r="AJ11" s="14">
        <v>0</v>
      </c>
      <c r="AK11" s="12">
        <f t="shared" si="9"/>
        <v>0</v>
      </c>
      <c r="AL11" s="14">
        <f t="shared" si="10"/>
        <v>0</v>
      </c>
      <c r="AM11" s="13" t="e">
        <f t="shared" si="11"/>
        <v>#DIV/0!</v>
      </c>
      <c r="AO11" s="16"/>
      <c r="AP11" s="15" t="s">
        <v>6</v>
      </c>
      <c r="AQ11" s="12">
        <v>0</v>
      </c>
      <c r="AR11" s="14">
        <v>0</v>
      </c>
      <c r="AS11" s="12">
        <f t="shared" si="12"/>
        <v>0</v>
      </c>
      <c r="AT11" s="14">
        <f t="shared" si="13"/>
        <v>0</v>
      </c>
      <c r="AU11" s="13" t="e">
        <f t="shared" si="14"/>
        <v>#DIV/0!</v>
      </c>
      <c r="AW11" s="16"/>
      <c r="AX11" s="15" t="s">
        <v>6</v>
      </c>
      <c r="AY11" s="12">
        <v>0</v>
      </c>
      <c r="AZ11" s="14">
        <v>0</v>
      </c>
      <c r="BA11" s="12">
        <f t="shared" si="15"/>
        <v>0</v>
      </c>
      <c r="BB11" s="14">
        <f t="shared" si="16"/>
        <v>0</v>
      </c>
      <c r="BC11" s="13" t="e">
        <f t="shared" si="17"/>
        <v>#DIV/0!</v>
      </c>
      <c r="BE11" s="16"/>
      <c r="BF11" s="15" t="s">
        <v>6</v>
      </c>
      <c r="BG11" s="27">
        <v>0</v>
      </c>
      <c r="BH11" s="28">
        <v>0</v>
      </c>
      <c r="BI11" s="12">
        <f t="shared" si="18"/>
        <v>0</v>
      </c>
      <c r="BJ11" s="14">
        <f t="shared" si="19"/>
        <v>0</v>
      </c>
      <c r="BK11" s="13" t="e">
        <f t="shared" si="20"/>
        <v>#DIV/0!</v>
      </c>
      <c r="BL11" s="17"/>
      <c r="BM11" s="16"/>
      <c r="BN11" s="15" t="s">
        <v>6</v>
      </c>
      <c r="BO11" s="27">
        <v>0</v>
      </c>
      <c r="BP11" s="28">
        <v>0</v>
      </c>
      <c r="BQ11" s="12">
        <f t="shared" si="21"/>
        <v>0</v>
      </c>
      <c r="BR11" s="14">
        <f t="shared" si="22"/>
        <v>0</v>
      </c>
      <c r="BS11" s="13" t="e">
        <f t="shared" si="23"/>
        <v>#DIV/0!</v>
      </c>
      <c r="BU11" s="16"/>
      <c r="BV11" s="15" t="s">
        <v>6</v>
      </c>
      <c r="BW11" s="27">
        <v>0</v>
      </c>
      <c r="BX11" s="28">
        <v>0</v>
      </c>
      <c r="BY11" s="12">
        <f t="shared" si="24"/>
        <v>0</v>
      </c>
      <c r="BZ11" s="14">
        <f t="shared" si="25"/>
        <v>0</v>
      </c>
      <c r="CA11" s="13" t="e">
        <f t="shared" si="26"/>
        <v>#DIV/0!</v>
      </c>
      <c r="CC11" s="16"/>
      <c r="CD11" s="15" t="s">
        <v>6</v>
      </c>
      <c r="CE11" s="27">
        <v>0</v>
      </c>
      <c r="CF11" s="28">
        <v>0</v>
      </c>
      <c r="CG11" s="12">
        <f t="shared" si="27"/>
        <v>0</v>
      </c>
      <c r="CH11" s="14">
        <f t="shared" si="28"/>
        <v>0</v>
      </c>
      <c r="CI11" s="13" t="e">
        <f t="shared" si="29"/>
        <v>#DIV/0!</v>
      </c>
      <c r="CK11" s="16"/>
      <c r="CL11" s="15" t="s">
        <v>6</v>
      </c>
      <c r="CM11" s="27">
        <v>0</v>
      </c>
      <c r="CN11" s="28">
        <v>0</v>
      </c>
      <c r="CO11" s="12">
        <f t="shared" si="30"/>
        <v>0</v>
      </c>
      <c r="CP11" s="14">
        <f t="shared" si="31"/>
        <v>0</v>
      </c>
      <c r="CQ11" s="13" t="e">
        <f t="shared" si="32"/>
        <v>#DIV/0!</v>
      </c>
      <c r="CS11" s="16"/>
      <c r="CT11" s="15" t="s">
        <v>6</v>
      </c>
      <c r="CU11" s="27">
        <v>0</v>
      </c>
      <c r="CV11" s="28">
        <v>0</v>
      </c>
      <c r="CW11" s="12">
        <f t="shared" si="33"/>
        <v>0</v>
      </c>
      <c r="CX11" s="14">
        <f t="shared" si="34"/>
        <v>0</v>
      </c>
      <c r="CY11" s="13" t="e">
        <f t="shared" si="35"/>
        <v>#DIV/0!</v>
      </c>
    </row>
    <row r="12" spans="1:103" s="12" customFormat="1" ht="20" customHeight="1">
      <c r="A12" s="16"/>
      <c r="B12" s="15" t="s">
        <v>5</v>
      </c>
      <c r="C12" s="12">
        <v>0</v>
      </c>
      <c r="D12" s="14">
        <v>0</v>
      </c>
      <c r="E12" s="12" t="e">
        <f>C12-#REF!</f>
        <v>#REF!</v>
      </c>
      <c r="F12" s="14" t="e">
        <f>D12-#REF!</f>
        <v>#REF!</v>
      </c>
      <c r="G12" s="13" t="e">
        <f>(D12-#REF!)/#REF!</f>
        <v>#REF!</v>
      </c>
      <c r="I12" s="16"/>
      <c r="J12" s="15" t="s">
        <v>5</v>
      </c>
      <c r="K12" s="12">
        <v>0</v>
      </c>
      <c r="L12" s="14">
        <v>0</v>
      </c>
      <c r="M12" s="12">
        <f t="shared" si="36"/>
        <v>0</v>
      </c>
      <c r="N12" s="14">
        <f t="shared" si="37"/>
        <v>0</v>
      </c>
      <c r="O12" s="13" t="e">
        <f t="shared" si="38"/>
        <v>#DIV/0!</v>
      </c>
      <c r="Q12" s="16"/>
      <c r="R12" s="15" t="s">
        <v>5</v>
      </c>
      <c r="S12" s="12">
        <v>0</v>
      </c>
      <c r="T12" s="14">
        <v>0</v>
      </c>
      <c r="U12" s="12">
        <f t="shared" si="3"/>
        <v>0</v>
      </c>
      <c r="V12" s="14">
        <f t="shared" si="4"/>
        <v>0</v>
      </c>
      <c r="W12" s="13" t="e">
        <f t="shared" si="5"/>
        <v>#DIV/0!</v>
      </c>
      <c r="Y12" s="16"/>
      <c r="Z12" s="15" t="s">
        <v>5</v>
      </c>
      <c r="AA12" s="12">
        <v>0</v>
      </c>
      <c r="AB12" s="14">
        <v>0</v>
      </c>
      <c r="AC12" s="12">
        <f t="shared" si="6"/>
        <v>0</v>
      </c>
      <c r="AD12" s="14">
        <f t="shared" si="7"/>
        <v>0</v>
      </c>
      <c r="AE12" s="13" t="e">
        <f t="shared" si="8"/>
        <v>#DIV/0!</v>
      </c>
      <c r="AG12" s="16"/>
      <c r="AH12" s="15" t="s">
        <v>5</v>
      </c>
      <c r="AI12" s="12">
        <v>0</v>
      </c>
      <c r="AJ12" s="14">
        <v>0</v>
      </c>
      <c r="AK12" s="12">
        <f t="shared" si="9"/>
        <v>0</v>
      </c>
      <c r="AL12" s="14">
        <f t="shared" si="10"/>
        <v>0</v>
      </c>
      <c r="AM12" s="13" t="e">
        <f t="shared" si="11"/>
        <v>#DIV/0!</v>
      </c>
      <c r="AO12" s="16"/>
      <c r="AP12" s="15" t="s">
        <v>5</v>
      </c>
      <c r="AQ12" s="12">
        <v>0</v>
      </c>
      <c r="AR12" s="14">
        <v>0</v>
      </c>
      <c r="AS12" s="12">
        <f t="shared" si="12"/>
        <v>0</v>
      </c>
      <c r="AT12" s="14">
        <f t="shared" si="13"/>
        <v>0</v>
      </c>
      <c r="AU12" s="13" t="e">
        <f t="shared" si="14"/>
        <v>#DIV/0!</v>
      </c>
      <c r="AW12" s="16"/>
      <c r="AX12" s="15" t="s">
        <v>5</v>
      </c>
      <c r="AY12" s="12">
        <v>0</v>
      </c>
      <c r="AZ12" s="14">
        <v>0</v>
      </c>
      <c r="BA12" s="12">
        <f t="shared" si="15"/>
        <v>0</v>
      </c>
      <c r="BB12" s="14">
        <f t="shared" si="16"/>
        <v>0</v>
      </c>
      <c r="BC12" s="13" t="e">
        <f t="shared" si="17"/>
        <v>#DIV/0!</v>
      </c>
      <c r="BE12" s="16"/>
      <c r="BF12" s="15" t="s">
        <v>5</v>
      </c>
      <c r="BG12" s="27">
        <v>0</v>
      </c>
      <c r="BH12" s="28">
        <v>0</v>
      </c>
      <c r="BI12" s="12">
        <f t="shared" si="18"/>
        <v>0</v>
      </c>
      <c r="BJ12" s="14">
        <f t="shared" si="19"/>
        <v>0</v>
      </c>
      <c r="BK12" s="13" t="e">
        <f t="shared" si="20"/>
        <v>#DIV/0!</v>
      </c>
      <c r="BL12" s="17"/>
      <c r="BM12" s="16"/>
      <c r="BN12" s="15" t="s">
        <v>5</v>
      </c>
      <c r="BO12" s="27">
        <v>0</v>
      </c>
      <c r="BP12" s="28">
        <v>0</v>
      </c>
      <c r="BQ12" s="12">
        <f t="shared" si="21"/>
        <v>0</v>
      </c>
      <c r="BR12" s="14">
        <f t="shared" si="22"/>
        <v>0</v>
      </c>
      <c r="BS12" s="13" t="e">
        <f t="shared" si="23"/>
        <v>#DIV/0!</v>
      </c>
      <c r="BU12" s="16"/>
      <c r="BV12" s="15" t="s">
        <v>5</v>
      </c>
      <c r="BW12" s="27">
        <v>0</v>
      </c>
      <c r="BX12" s="28">
        <v>0</v>
      </c>
      <c r="BY12" s="12">
        <f t="shared" si="24"/>
        <v>0</v>
      </c>
      <c r="BZ12" s="14">
        <f t="shared" si="25"/>
        <v>0</v>
      </c>
      <c r="CA12" s="13" t="e">
        <f t="shared" si="26"/>
        <v>#DIV/0!</v>
      </c>
      <c r="CC12" s="16"/>
      <c r="CD12" s="15" t="s">
        <v>5</v>
      </c>
      <c r="CE12" s="27">
        <v>0</v>
      </c>
      <c r="CF12" s="28">
        <v>0</v>
      </c>
      <c r="CG12" s="12">
        <f t="shared" si="27"/>
        <v>0</v>
      </c>
      <c r="CH12" s="14">
        <f t="shared" si="28"/>
        <v>0</v>
      </c>
      <c r="CI12" s="13" t="e">
        <f t="shared" si="29"/>
        <v>#DIV/0!</v>
      </c>
      <c r="CK12" s="16"/>
      <c r="CL12" s="15" t="s">
        <v>5</v>
      </c>
      <c r="CM12" s="27">
        <v>0</v>
      </c>
      <c r="CN12" s="28">
        <v>0</v>
      </c>
      <c r="CO12" s="12">
        <f t="shared" si="30"/>
        <v>0</v>
      </c>
      <c r="CP12" s="14">
        <f t="shared" si="31"/>
        <v>0</v>
      </c>
      <c r="CQ12" s="13" t="e">
        <f t="shared" si="32"/>
        <v>#DIV/0!</v>
      </c>
      <c r="CS12" s="16"/>
      <c r="CT12" s="15" t="s">
        <v>5</v>
      </c>
      <c r="CU12" s="27">
        <v>0</v>
      </c>
      <c r="CV12" s="28">
        <v>0</v>
      </c>
      <c r="CW12" s="12">
        <f t="shared" si="33"/>
        <v>0</v>
      </c>
      <c r="CX12" s="14">
        <f t="shared" si="34"/>
        <v>0</v>
      </c>
      <c r="CY12" s="13" t="e">
        <f t="shared" si="35"/>
        <v>#DIV/0!</v>
      </c>
    </row>
    <row r="13" spans="1:103" s="12" customFormat="1" ht="20" customHeight="1">
      <c r="A13" s="16"/>
      <c r="B13" s="15" t="s">
        <v>4</v>
      </c>
      <c r="C13" s="12">
        <v>0</v>
      </c>
      <c r="D13" s="14">
        <v>0</v>
      </c>
      <c r="E13" s="12" t="e">
        <f>C13-#REF!</f>
        <v>#REF!</v>
      </c>
      <c r="F13" s="14" t="e">
        <f>D13-#REF!</f>
        <v>#REF!</v>
      </c>
      <c r="G13" s="13" t="e">
        <f>(D13-#REF!)/#REF!</f>
        <v>#REF!</v>
      </c>
      <c r="I13" s="16"/>
      <c r="J13" s="15" t="s">
        <v>4</v>
      </c>
      <c r="K13" s="12">
        <v>0</v>
      </c>
      <c r="L13" s="14">
        <v>0</v>
      </c>
      <c r="M13" s="12">
        <f t="shared" si="36"/>
        <v>0</v>
      </c>
      <c r="N13" s="14">
        <f t="shared" si="37"/>
        <v>0</v>
      </c>
      <c r="O13" s="13" t="e">
        <f t="shared" si="38"/>
        <v>#DIV/0!</v>
      </c>
      <c r="Q13" s="16"/>
      <c r="R13" s="15" t="s">
        <v>4</v>
      </c>
      <c r="S13" s="12">
        <v>0</v>
      </c>
      <c r="T13" s="14">
        <v>0</v>
      </c>
      <c r="U13" s="12">
        <f t="shared" si="3"/>
        <v>0</v>
      </c>
      <c r="V13" s="14">
        <f t="shared" si="4"/>
        <v>0</v>
      </c>
      <c r="W13" s="13" t="e">
        <f t="shared" si="5"/>
        <v>#DIV/0!</v>
      </c>
      <c r="Y13" s="16"/>
      <c r="Z13" s="15" t="s">
        <v>4</v>
      </c>
      <c r="AA13" s="12">
        <v>0</v>
      </c>
      <c r="AB13" s="14">
        <v>0</v>
      </c>
      <c r="AC13" s="12">
        <f t="shared" si="6"/>
        <v>0</v>
      </c>
      <c r="AD13" s="14">
        <f t="shared" si="7"/>
        <v>0</v>
      </c>
      <c r="AE13" s="13" t="e">
        <f t="shared" si="8"/>
        <v>#DIV/0!</v>
      </c>
      <c r="AG13" s="16"/>
      <c r="AH13" s="15" t="s">
        <v>4</v>
      </c>
      <c r="AI13" s="12">
        <v>0</v>
      </c>
      <c r="AJ13" s="14">
        <v>0</v>
      </c>
      <c r="AK13" s="12">
        <f t="shared" si="9"/>
        <v>0</v>
      </c>
      <c r="AL13" s="14">
        <f t="shared" si="10"/>
        <v>0</v>
      </c>
      <c r="AM13" s="13" t="e">
        <f t="shared" si="11"/>
        <v>#DIV/0!</v>
      </c>
      <c r="AO13" s="16"/>
      <c r="AP13" s="15" t="s">
        <v>4</v>
      </c>
      <c r="AQ13" s="12">
        <v>0</v>
      </c>
      <c r="AR13" s="14">
        <v>0</v>
      </c>
      <c r="AS13" s="12">
        <f t="shared" si="12"/>
        <v>0</v>
      </c>
      <c r="AT13" s="14">
        <f t="shared" si="13"/>
        <v>0</v>
      </c>
      <c r="AU13" s="13" t="e">
        <f t="shared" si="14"/>
        <v>#DIV/0!</v>
      </c>
      <c r="AW13" s="16"/>
      <c r="AX13" s="15" t="s">
        <v>4</v>
      </c>
      <c r="AY13" s="12">
        <v>0</v>
      </c>
      <c r="AZ13" s="14">
        <v>0</v>
      </c>
      <c r="BA13" s="12">
        <f t="shared" si="15"/>
        <v>0</v>
      </c>
      <c r="BB13" s="14">
        <f t="shared" si="16"/>
        <v>0</v>
      </c>
      <c r="BC13" s="13" t="e">
        <f t="shared" si="17"/>
        <v>#DIV/0!</v>
      </c>
      <c r="BE13" s="16"/>
      <c r="BF13" s="15" t="s">
        <v>4</v>
      </c>
      <c r="BG13" s="27">
        <v>0</v>
      </c>
      <c r="BH13" s="28">
        <v>0</v>
      </c>
      <c r="BI13" s="12">
        <f t="shared" si="18"/>
        <v>0</v>
      </c>
      <c r="BJ13" s="14">
        <f t="shared" si="19"/>
        <v>0</v>
      </c>
      <c r="BK13" s="13" t="e">
        <f t="shared" si="20"/>
        <v>#DIV/0!</v>
      </c>
      <c r="BL13" s="17"/>
      <c r="BM13" s="16"/>
      <c r="BN13" s="15" t="s">
        <v>4</v>
      </c>
      <c r="BO13" s="27">
        <v>0</v>
      </c>
      <c r="BP13" s="28">
        <v>0</v>
      </c>
      <c r="BQ13" s="12">
        <f t="shared" si="21"/>
        <v>0</v>
      </c>
      <c r="BR13" s="14">
        <f t="shared" si="22"/>
        <v>0</v>
      </c>
      <c r="BS13" s="13" t="e">
        <f t="shared" si="23"/>
        <v>#DIV/0!</v>
      </c>
      <c r="BU13" s="16"/>
      <c r="BV13" s="15" t="s">
        <v>4</v>
      </c>
      <c r="BW13" s="27">
        <v>0</v>
      </c>
      <c r="BX13" s="28">
        <v>0</v>
      </c>
      <c r="BY13" s="12">
        <f t="shared" si="24"/>
        <v>0</v>
      </c>
      <c r="BZ13" s="14">
        <f t="shared" si="25"/>
        <v>0</v>
      </c>
      <c r="CA13" s="13" t="e">
        <f t="shared" si="26"/>
        <v>#DIV/0!</v>
      </c>
      <c r="CC13" s="16"/>
      <c r="CD13" s="15" t="s">
        <v>4</v>
      </c>
      <c r="CE13" s="27">
        <v>0</v>
      </c>
      <c r="CF13" s="28">
        <v>0</v>
      </c>
      <c r="CG13" s="12">
        <f t="shared" si="27"/>
        <v>0</v>
      </c>
      <c r="CH13" s="14">
        <f t="shared" si="28"/>
        <v>0</v>
      </c>
      <c r="CI13" s="13" t="e">
        <f t="shared" si="29"/>
        <v>#DIV/0!</v>
      </c>
      <c r="CK13" s="16"/>
      <c r="CL13" s="15" t="s">
        <v>4</v>
      </c>
      <c r="CM13" s="27">
        <v>0</v>
      </c>
      <c r="CN13" s="28">
        <v>0</v>
      </c>
      <c r="CO13" s="12">
        <f t="shared" si="30"/>
        <v>0</v>
      </c>
      <c r="CP13" s="14">
        <f t="shared" si="31"/>
        <v>0</v>
      </c>
      <c r="CQ13" s="13" t="e">
        <f t="shared" si="32"/>
        <v>#DIV/0!</v>
      </c>
      <c r="CS13" s="16"/>
      <c r="CT13" s="15" t="s">
        <v>4</v>
      </c>
      <c r="CU13" s="27">
        <v>0</v>
      </c>
      <c r="CV13" s="28">
        <v>0</v>
      </c>
      <c r="CW13" s="12">
        <f t="shared" si="33"/>
        <v>0</v>
      </c>
      <c r="CX13" s="14">
        <f t="shared" si="34"/>
        <v>0</v>
      </c>
      <c r="CY13" s="13" t="e">
        <f t="shared" si="35"/>
        <v>#DIV/0!</v>
      </c>
    </row>
    <row r="14" spans="1:103" s="12" customFormat="1" ht="20" customHeight="1">
      <c r="A14" s="16"/>
      <c r="B14" s="15" t="s">
        <v>3</v>
      </c>
      <c r="C14" s="12">
        <v>0</v>
      </c>
      <c r="D14" s="14">
        <v>0</v>
      </c>
      <c r="E14" s="12" t="e">
        <f>C14-#REF!</f>
        <v>#REF!</v>
      </c>
      <c r="F14" s="14" t="e">
        <f>D14-#REF!</f>
        <v>#REF!</v>
      </c>
      <c r="G14" s="13" t="e">
        <f>(D14-#REF!)/#REF!</f>
        <v>#REF!</v>
      </c>
      <c r="I14" s="16"/>
      <c r="J14" s="15" t="s">
        <v>3</v>
      </c>
      <c r="K14" s="12">
        <v>0</v>
      </c>
      <c r="L14" s="14">
        <v>0</v>
      </c>
      <c r="M14" s="12">
        <f t="shared" si="36"/>
        <v>0</v>
      </c>
      <c r="N14" s="14">
        <f t="shared" si="37"/>
        <v>0</v>
      </c>
      <c r="O14" s="13" t="e">
        <f t="shared" si="38"/>
        <v>#DIV/0!</v>
      </c>
      <c r="Q14" s="16"/>
      <c r="R14" s="15" t="s">
        <v>3</v>
      </c>
      <c r="S14" s="12">
        <v>0</v>
      </c>
      <c r="T14" s="14">
        <v>0</v>
      </c>
      <c r="U14" s="12">
        <f t="shared" si="3"/>
        <v>0</v>
      </c>
      <c r="V14" s="14">
        <f t="shared" si="4"/>
        <v>0</v>
      </c>
      <c r="W14" s="13" t="e">
        <f t="shared" si="5"/>
        <v>#DIV/0!</v>
      </c>
      <c r="Y14" s="16"/>
      <c r="Z14" s="15" t="s">
        <v>3</v>
      </c>
      <c r="AA14" s="12">
        <v>0</v>
      </c>
      <c r="AB14" s="14">
        <v>0</v>
      </c>
      <c r="AC14" s="12">
        <f t="shared" si="6"/>
        <v>0</v>
      </c>
      <c r="AD14" s="14">
        <f t="shared" si="7"/>
        <v>0</v>
      </c>
      <c r="AE14" s="13" t="e">
        <f t="shared" si="8"/>
        <v>#DIV/0!</v>
      </c>
      <c r="AG14" s="16"/>
      <c r="AH14" s="15" t="s">
        <v>3</v>
      </c>
      <c r="AI14" s="12">
        <v>0</v>
      </c>
      <c r="AJ14" s="14">
        <v>0</v>
      </c>
      <c r="AK14" s="12">
        <f t="shared" si="9"/>
        <v>0</v>
      </c>
      <c r="AL14" s="14">
        <f t="shared" si="10"/>
        <v>0</v>
      </c>
      <c r="AM14" s="13" t="e">
        <f t="shared" si="11"/>
        <v>#DIV/0!</v>
      </c>
      <c r="AO14" s="16"/>
      <c r="AP14" s="15" t="s">
        <v>3</v>
      </c>
      <c r="AQ14" s="12">
        <v>0</v>
      </c>
      <c r="AR14" s="14">
        <v>0</v>
      </c>
      <c r="AS14" s="12">
        <f t="shared" si="12"/>
        <v>0</v>
      </c>
      <c r="AT14" s="14">
        <f t="shared" si="13"/>
        <v>0</v>
      </c>
      <c r="AU14" s="13" t="e">
        <f t="shared" si="14"/>
        <v>#DIV/0!</v>
      </c>
      <c r="AW14" s="16"/>
      <c r="AX14" s="15" t="s">
        <v>3</v>
      </c>
      <c r="AY14" s="12">
        <v>0</v>
      </c>
      <c r="AZ14" s="14">
        <v>0</v>
      </c>
      <c r="BA14" s="12">
        <f t="shared" si="15"/>
        <v>0</v>
      </c>
      <c r="BB14" s="14">
        <f t="shared" si="16"/>
        <v>0</v>
      </c>
      <c r="BC14" s="13" t="e">
        <f t="shared" si="17"/>
        <v>#DIV/0!</v>
      </c>
      <c r="BE14" s="16"/>
      <c r="BF14" s="15" t="s">
        <v>3</v>
      </c>
      <c r="BG14" s="27">
        <v>0</v>
      </c>
      <c r="BH14" s="28">
        <v>0</v>
      </c>
      <c r="BI14" s="12">
        <f t="shared" si="18"/>
        <v>0</v>
      </c>
      <c r="BJ14" s="14">
        <f t="shared" si="19"/>
        <v>0</v>
      </c>
      <c r="BK14" s="13" t="e">
        <f t="shared" si="20"/>
        <v>#DIV/0!</v>
      </c>
      <c r="BL14" s="17"/>
      <c r="BM14" s="16"/>
      <c r="BN14" s="15" t="s">
        <v>3</v>
      </c>
      <c r="BO14" s="27">
        <v>0</v>
      </c>
      <c r="BP14" s="28">
        <v>0</v>
      </c>
      <c r="BQ14" s="12">
        <f t="shared" si="21"/>
        <v>0</v>
      </c>
      <c r="BR14" s="14">
        <f t="shared" si="22"/>
        <v>0</v>
      </c>
      <c r="BS14" s="13" t="e">
        <f t="shared" si="23"/>
        <v>#DIV/0!</v>
      </c>
      <c r="BU14" s="16"/>
      <c r="BV14" s="15" t="s">
        <v>3</v>
      </c>
      <c r="BW14" s="27">
        <v>0</v>
      </c>
      <c r="BX14" s="28">
        <v>0</v>
      </c>
      <c r="BY14" s="12">
        <f t="shared" si="24"/>
        <v>0</v>
      </c>
      <c r="BZ14" s="14">
        <f t="shared" si="25"/>
        <v>0</v>
      </c>
      <c r="CA14" s="13" t="e">
        <f t="shared" si="26"/>
        <v>#DIV/0!</v>
      </c>
      <c r="CC14" s="16"/>
      <c r="CD14" s="15" t="s">
        <v>3</v>
      </c>
      <c r="CE14" s="27">
        <v>0</v>
      </c>
      <c r="CF14" s="28">
        <v>0</v>
      </c>
      <c r="CG14" s="12">
        <f t="shared" si="27"/>
        <v>0</v>
      </c>
      <c r="CH14" s="14">
        <f t="shared" si="28"/>
        <v>0</v>
      </c>
      <c r="CI14" s="13" t="e">
        <f t="shared" si="29"/>
        <v>#DIV/0!</v>
      </c>
      <c r="CK14" s="16"/>
      <c r="CL14" s="15" t="s">
        <v>3</v>
      </c>
      <c r="CM14" s="27">
        <v>0</v>
      </c>
      <c r="CN14" s="28">
        <v>0</v>
      </c>
      <c r="CO14" s="12">
        <f t="shared" si="30"/>
        <v>0</v>
      </c>
      <c r="CP14" s="14">
        <f t="shared" si="31"/>
        <v>0</v>
      </c>
      <c r="CQ14" s="13" t="e">
        <f t="shared" si="32"/>
        <v>#DIV/0!</v>
      </c>
      <c r="CS14" s="16"/>
      <c r="CT14" s="15" t="s">
        <v>3</v>
      </c>
      <c r="CU14" s="27">
        <v>0</v>
      </c>
      <c r="CV14" s="28">
        <v>0</v>
      </c>
      <c r="CW14" s="12">
        <f t="shared" si="33"/>
        <v>0</v>
      </c>
      <c r="CX14" s="14">
        <f t="shared" si="34"/>
        <v>0</v>
      </c>
      <c r="CY14" s="13" t="e">
        <f t="shared" si="35"/>
        <v>#DIV/0!</v>
      </c>
    </row>
    <row r="15" spans="1:103" s="12" customFormat="1" ht="20" customHeight="1">
      <c r="A15" s="16"/>
      <c r="B15" s="15" t="s">
        <v>2</v>
      </c>
      <c r="C15" s="12">
        <v>0</v>
      </c>
      <c r="D15" s="14">
        <v>0</v>
      </c>
      <c r="E15" s="12" t="e">
        <f>C15-#REF!</f>
        <v>#REF!</v>
      </c>
      <c r="F15" s="14" t="e">
        <f>D15-#REF!</f>
        <v>#REF!</v>
      </c>
      <c r="G15" s="13" t="e">
        <f>(D15-#REF!)/#REF!</f>
        <v>#REF!</v>
      </c>
      <c r="I15" s="16"/>
      <c r="J15" s="15" t="s">
        <v>2</v>
      </c>
      <c r="K15" s="12">
        <v>0</v>
      </c>
      <c r="L15" s="14">
        <v>0</v>
      </c>
      <c r="M15" s="12">
        <f t="shared" si="36"/>
        <v>0</v>
      </c>
      <c r="N15" s="14">
        <f t="shared" si="37"/>
        <v>0</v>
      </c>
      <c r="O15" s="13" t="e">
        <f t="shared" si="38"/>
        <v>#DIV/0!</v>
      </c>
      <c r="Q15" s="16"/>
      <c r="R15" s="15" t="s">
        <v>2</v>
      </c>
      <c r="S15" s="12">
        <v>0</v>
      </c>
      <c r="T15" s="14">
        <v>0</v>
      </c>
      <c r="U15" s="12">
        <f t="shared" si="3"/>
        <v>0</v>
      </c>
      <c r="V15" s="14">
        <f t="shared" si="4"/>
        <v>0</v>
      </c>
      <c r="W15" s="13" t="e">
        <f t="shared" si="5"/>
        <v>#DIV/0!</v>
      </c>
      <c r="Y15" s="16"/>
      <c r="Z15" s="15" t="s">
        <v>2</v>
      </c>
      <c r="AA15" s="12">
        <v>0</v>
      </c>
      <c r="AB15" s="14">
        <v>0</v>
      </c>
      <c r="AC15" s="12">
        <f t="shared" si="6"/>
        <v>0</v>
      </c>
      <c r="AD15" s="14">
        <f t="shared" si="7"/>
        <v>0</v>
      </c>
      <c r="AE15" s="13" t="e">
        <f t="shared" si="8"/>
        <v>#DIV/0!</v>
      </c>
      <c r="AG15" s="16"/>
      <c r="AH15" s="15" t="s">
        <v>2</v>
      </c>
      <c r="AI15" s="12">
        <v>0</v>
      </c>
      <c r="AJ15" s="14">
        <v>0</v>
      </c>
      <c r="AK15" s="12">
        <f t="shared" si="9"/>
        <v>0</v>
      </c>
      <c r="AL15" s="14">
        <f t="shared" si="10"/>
        <v>0</v>
      </c>
      <c r="AM15" s="13" t="e">
        <f t="shared" si="11"/>
        <v>#DIV/0!</v>
      </c>
      <c r="AO15" s="16"/>
      <c r="AP15" s="15" t="s">
        <v>2</v>
      </c>
      <c r="AQ15" s="12">
        <v>0</v>
      </c>
      <c r="AR15" s="14">
        <v>0</v>
      </c>
      <c r="AS15" s="12">
        <f t="shared" si="12"/>
        <v>0</v>
      </c>
      <c r="AT15" s="14">
        <f t="shared" si="13"/>
        <v>0</v>
      </c>
      <c r="AU15" s="13" t="e">
        <f t="shared" si="14"/>
        <v>#DIV/0!</v>
      </c>
      <c r="AW15" s="16"/>
      <c r="AX15" s="15" t="s">
        <v>2</v>
      </c>
      <c r="AY15" s="12">
        <v>0</v>
      </c>
      <c r="AZ15" s="14">
        <v>0</v>
      </c>
      <c r="BA15" s="12">
        <f t="shared" si="15"/>
        <v>0</v>
      </c>
      <c r="BB15" s="14">
        <f t="shared" si="16"/>
        <v>0</v>
      </c>
      <c r="BC15" s="13" t="e">
        <f t="shared" si="17"/>
        <v>#DIV/0!</v>
      </c>
      <c r="BE15" s="16"/>
      <c r="BF15" s="15" t="s">
        <v>2</v>
      </c>
      <c r="BG15" s="27">
        <v>0</v>
      </c>
      <c r="BH15" s="28">
        <v>0</v>
      </c>
      <c r="BI15" s="12">
        <f t="shared" si="18"/>
        <v>0</v>
      </c>
      <c r="BJ15" s="14">
        <f t="shared" si="19"/>
        <v>0</v>
      </c>
      <c r="BK15" s="13" t="e">
        <f t="shared" si="20"/>
        <v>#DIV/0!</v>
      </c>
      <c r="BL15" s="17"/>
      <c r="BM15" s="16"/>
      <c r="BN15" s="15" t="s">
        <v>2</v>
      </c>
      <c r="BO15" s="27">
        <v>0</v>
      </c>
      <c r="BP15" s="28">
        <v>0</v>
      </c>
      <c r="BQ15" s="12">
        <f t="shared" si="21"/>
        <v>0</v>
      </c>
      <c r="BR15" s="14">
        <f t="shared" si="22"/>
        <v>0</v>
      </c>
      <c r="BS15" s="13" t="e">
        <f t="shared" si="23"/>
        <v>#DIV/0!</v>
      </c>
      <c r="BU15" s="16"/>
      <c r="BV15" s="15" t="s">
        <v>2</v>
      </c>
      <c r="BW15" s="27">
        <v>0</v>
      </c>
      <c r="BX15" s="28">
        <v>0</v>
      </c>
      <c r="BY15" s="12">
        <f t="shared" si="24"/>
        <v>0</v>
      </c>
      <c r="BZ15" s="14">
        <f t="shared" si="25"/>
        <v>0</v>
      </c>
      <c r="CA15" s="13" t="e">
        <f t="shared" si="26"/>
        <v>#DIV/0!</v>
      </c>
      <c r="CC15" s="16"/>
      <c r="CD15" s="15" t="s">
        <v>2</v>
      </c>
      <c r="CE15" s="27">
        <v>0</v>
      </c>
      <c r="CF15" s="28">
        <v>0</v>
      </c>
      <c r="CG15" s="12">
        <f t="shared" si="27"/>
        <v>0</v>
      </c>
      <c r="CH15" s="14">
        <f t="shared" si="28"/>
        <v>0</v>
      </c>
      <c r="CI15" s="13" t="e">
        <f t="shared" si="29"/>
        <v>#DIV/0!</v>
      </c>
      <c r="CK15" s="16"/>
      <c r="CL15" s="15" t="s">
        <v>2</v>
      </c>
      <c r="CM15" s="27">
        <v>0</v>
      </c>
      <c r="CN15" s="28">
        <v>0</v>
      </c>
      <c r="CO15" s="12">
        <f t="shared" si="30"/>
        <v>0</v>
      </c>
      <c r="CP15" s="14">
        <f t="shared" si="31"/>
        <v>0</v>
      </c>
      <c r="CQ15" s="13" t="e">
        <f t="shared" si="32"/>
        <v>#DIV/0!</v>
      </c>
      <c r="CS15" s="16"/>
      <c r="CT15" s="15" t="s">
        <v>2</v>
      </c>
      <c r="CU15" s="27">
        <v>0</v>
      </c>
      <c r="CV15" s="28">
        <v>0</v>
      </c>
      <c r="CW15" s="12">
        <f t="shared" si="33"/>
        <v>0</v>
      </c>
      <c r="CX15" s="14">
        <f t="shared" si="34"/>
        <v>0</v>
      </c>
      <c r="CY15" s="13" t="e">
        <f t="shared" si="35"/>
        <v>#DIV/0!</v>
      </c>
    </row>
    <row r="16" spans="1:103" s="2" customFormat="1" ht="20" customHeight="1">
      <c r="A16" s="11" t="s">
        <v>34</v>
      </c>
      <c r="B16" s="11"/>
      <c r="C16" s="10">
        <v>0</v>
      </c>
      <c r="D16" s="9">
        <v>0</v>
      </c>
      <c r="E16" s="10" t="e">
        <f>C16-#REF!</f>
        <v>#REF!</v>
      </c>
      <c r="F16" s="9" t="e">
        <f>D16-#REF!</f>
        <v>#REF!</v>
      </c>
      <c r="G16" s="8" t="e">
        <f>(D16-#REF!)/#REF!</f>
        <v>#REF!</v>
      </c>
      <c r="I16" s="11" t="s">
        <v>34</v>
      </c>
      <c r="J16" s="11"/>
      <c r="K16" s="10">
        <v>0</v>
      </c>
      <c r="L16" s="9">
        <v>0</v>
      </c>
      <c r="M16" s="10">
        <f t="shared" si="36"/>
        <v>0</v>
      </c>
      <c r="N16" s="9">
        <f t="shared" si="37"/>
        <v>0</v>
      </c>
      <c r="O16" s="8" t="e">
        <f t="shared" si="38"/>
        <v>#DIV/0!</v>
      </c>
      <c r="Q16" s="11" t="s">
        <v>34</v>
      </c>
      <c r="R16" s="11"/>
      <c r="S16" s="10">
        <v>0</v>
      </c>
      <c r="T16" s="9">
        <v>0</v>
      </c>
      <c r="U16" s="10">
        <f t="shared" si="3"/>
        <v>0</v>
      </c>
      <c r="V16" s="9">
        <f t="shared" si="4"/>
        <v>0</v>
      </c>
      <c r="W16" s="8" t="e">
        <f t="shared" si="5"/>
        <v>#DIV/0!</v>
      </c>
      <c r="Y16" s="11" t="s">
        <v>34</v>
      </c>
      <c r="Z16" s="11"/>
      <c r="AA16" s="10">
        <v>0</v>
      </c>
      <c r="AB16" s="9">
        <v>0</v>
      </c>
      <c r="AC16" s="10">
        <f t="shared" si="6"/>
        <v>0</v>
      </c>
      <c r="AD16" s="9">
        <f t="shared" si="7"/>
        <v>0</v>
      </c>
      <c r="AE16" s="8" t="e">
        <f t="shared" si="8"/>
        <v>#DIV/0!</v>
      </c>
      <c r="AG16" s="11" t="s">
        <v>34</v>
      </c>
      <c r="AH16" s="11"/>
      <c r="AI16" s="10">
        <v>0</v>
      </c>
      <c r="AJ16" s="9">
        <v>0</v>
      </c>
      <c r="AK16" s="10">
        <f t="shared" si="9"/>
        <v>0</v>
      </c>
      <c r="AL16" s="9">
        <f t="shared" si="10"/>
        <v>0</v>
      </c>
      <c r="AM16" s="8" t="e">
        <f t="shared" si="11"/>
        <v>#DIV/0!</v>
      </c>
      <c r="AO16" s="11" t="s">
        <v>34</v>
      </c>
      <c r="AP16" s="11"/>
      <c r="AQ16" s="10">
        <v>0</v>
      </c>
      <c r="AR16" s="9">
        <v>0</v>
      </c>
      <c r="AS16" s="10">
        <f t="shared" si="12"/>
        <v>0</v>
      </c>
      <c r="AT16" s="9">
        <f t="shared" si="13"/>
        <v>0</v>
      </c>
      <c r="AU16" s="8" t="e">
        <f t="shared" si="14"/>
        <v>#DIV/0!</v>
      </c>
      <c r="AW16" s="11" t="s">
        <v>34</v>
      </c>
      <c r="AX16" s="11"/>
      <c r="AY16" s="10">
        <v>0</v>
      </c>
      <c r="AZ16" s="9">
        <v>0</v>
      </c>
      <c r="BA16" s="10">
        <f t="shared" si="15"/>
        <v>0</v>
      </c>
      <c r="BB16" s="9">
        <f t="shared" si="16"/>
        <v>0</v>
      </c>
      <c r="BC16" s="8" t="e">
        <f t="shared" si="17"/>
        <v>#DIV/0!</v>
      </c>
      <c r="BE16" s="11" t="s">
        <v>34</v>
      </c>
      <c r="BF16" s="11"/>
      <c r="BG16" s="29">
        <v>0</v>
      </c>
      <c r="BH16" s="30">
        <v>0</v>
      </c>
      <c r="BI16" s="10">
        <f t="shared" si="18"/>
        <v>0</v>
      </c>
      <c r="BJ16" s="9">
        <f t="shared" si="19"/>
        <v>0</v>
      </c>
      <c r="BK16" s="8" t="e">
        <f t="shared" si="20"/>
        <v>#DIV/0!</v>
      </c>
      <c r="BL16" s="7"/>
      <c r="BM16" s="11" t="s">
        <v>34</v>
      </c>
      <c r="BN16" s="11"/>
      <c r="BO16" s="29">
        <v>0</v>
      </c>
      <c r="BP16" s="30">
        <v>0</v>
      </c>
      <c r="BQ16" s="10">
        <f t="shared" si="21"/>
        <v>0</v>
      </c>
      <c r="BR16" s="9">
        <f t="shared" si="22"/>
        <v>0</v>
      </c>
      <c r="BS16" s="8" t="e">
        <f t="shared" si="23"/>
        <v>#DIV/0!</v>
      </c>
      <c r="BU16" s="11" t="s">
        <v>34</v>
      </c>
      <c r="BV16" s="11"/>
      <c r="BW16" s="29">
        <v>0</v>
      </c>
      <c r="BX16" s="30">
        <v>0</v>
      </c>
      <c r="BY16" s="10">
        <f t="shared" si="24"/>
        <v>0</v>
      </c>
      <c r="BZ16" s="9">
        <f t="shared" si="25"/>
        <v>0</v>
      </c>
      <c r="CA16" s="8" t="e">
        <f t="shared" si="26"/>
        <v>#DIV/0!</v>
      </c>
      <c r="CC16" s="11" t="s">
        <v>34</v>
      </c>
      <c r="CD16" s="11"/>
      <c r="CE16" s="29">
        <v>0</v>
      </c>
      <c r="CF16" s="30">
        <v>0</v>
      </c>
      <c r="CG16" s="10">
        <f t="shared" si="27"/>
        <v>0</v>
      </c>
      <c r="CH16" s="9">
        <f t="shared" si="28"/>
        <v>0</v>
      </c>
      <c r="CI16" s="8" t="e">
        <f t="shared" si="29"/>
        <v>#DIV/0!</v>
      </c>
      <c r="CK16" s="11" t="s">
        <v>34</v>
      </c>
      <c r="CL16" s="11"/>
      <c r="CM16" s="29">
        <v>0</v>
      </c>
      <c r="CN16" s="30">
        <v>0</v>
      </c>
      <c r="CO16" s="10">
        <f t="shared" si="30"/>
        <v>0</v>
      </c>
      <c r="CP16" s="9">
        <f t="shared" si="31"/>
        <v>0</v>
      </c>
      <c r="CQ16" s="8" t="e">
        <f t="shared" si="32"/>
        <v>#DIV/0!</v>
      </c>
      <c r="CS16" s="11" t="s">
        <v>34</v>
      </c>
      <c r="CT16" s="11"/>
      <c r="CU16" s="29">
        <v>0</v>
      </c>
      <c r="CV16" s="30">
        <v>0</v>
      </c>
      <c r="CW16" s="10">
        <f t="shared" si="33"/>
        <v>0</v>
      </c>
      <c r="CX16" s="9">
        <f t="shared" si="34"/>
        <v>0</v>
      </c>
      <c r="CY16" s="8" t="e">
        <f t="shared" si="35"/>
        <v>#DIV/0!</v>
      </c>
    </row>
    <row r="17" spans="1:103" s="2" customFormat="1" ht="20" customHeight="1">
      <c r="A17" s="16">
        <v>76</v>
      </c>
      <c r="B17" s="31" t="s">
        <v>32</v>
      </c>
      <c r="C17" s="2">
        <v>5164</v>
      </c>
      <c r="D17" s="34"/>
      <c r="F17" s="34"/>
      <c r="G17" s="7"/>
      <c r="I17" s="16">
        <v>76</v>
      </c>
      <c r="J17" s="31" t="s">
        <v>32</v>
      </c>
      <c r="K17" s="2">
        <v>5030</v>
      </c>
      <c r="L17" s="34"/>
      <c r="M17" s="12">
        <f t="shared" ref="M17:M18" si="39">K17-C17</f>
        <v>-134</v>
      </c>
      <c r="N17" s="14">
        <f t="shared" ref="N17:N18" si="40">L17-D17</f>
        <v>0</v>
      </c>
      <c r="O17" s="13" t="e">
        <f t="shared" ref="O17:O18" si="41">(L17-D17)/D17</f>
        <v>#DIV/0!</v>
      </c>
      <c r="Q17" s="16">
        <v>76</v>
      </c>
      <c r="R17" s="31" t="s">
        <v>32</v>
      </c>
      <c r="S17" s="2">
        <v>5464</v>
      </c>
      <c r="T17" s="34"/>
      <c r="U17" s="12">
        <f t="shared" si="3"/>
        <v>434</v>
      </c>
      <c r="V17" s="14">
        <f t="shared" si="4"/>
        <v>0</v>
      </c>
      <c r="W17" s="13" t="e">
        <f t="shared" si="5"/>
        <v>#DIV/0!</v>
      </c>
      <c r="Y17" s="16">
        <v>76</v>
      </c>
      <c r="Z17" s="31" t="s">
        <v>32</v>
      </c>
      <c r="AA17" s="2">
        <v>4901</v>
      </c>
      <c r="AB17" s="34"/>
      <c r="AC17" s="12">
        <f t="shared" si="6"/>
        <v>-563</v>
      </c>
      <c r="AD17" s="14">
        <f t="shared" si="7"/>
        <v>0</v>
      </c>
      <c r="AE17" s="13" t="e">
        <f t="shared" si="8"/>
        <v>#DIV/0!</v>
      </c>
      <c r="AG17" s="16">
        <v>76</v>
      </c>
      <c r="AH17" s="31" t="s">
        <v>32</v>
      </c>
      <c r="AI17" s="2">
        <v>4315</v>
      </c>
      <c r="AJ17" s="34"/>
      <c r="AK17" s="12">
        <f t="shared" si="9"/>
        <v>-586</v>
      </c>
      <c r="AL17" s="14">
        <f t="shared" si="10"/>
        <v>0</v>
      </c>
      <c r="AM17" s="13" t="e">
        <f t="shared" si="11"/>
        <v>#DIV/0!</v>
      </c>
      <c r="AO17" s="16">
        <v>76</v>
      </c>
      <c r="AP17" s="31" t="s">
        <v>32</v>
      </c>
      <c r="AQ17" s="2">
        <v>4697</v>
      </c>
      <c r="AR17" s="34"/>
      <c r="AS17" s="12">
        <f t="shared" si="12"/>
        <v>382</v>
      </c>
      <c r="AT17" s="14">
        <f t="shared" si="13"/>
        <v>0</v>
      </c>
      <c r="AU17" s="13" t="e">
        <f t="shared" si="14"/>
        <v>#DIV/0!</v>
      </c>
      <c r="AW17" s="16">
        <v>76</v>
      </c>
      <c r="AX17" s="31" t="s">
        <v>32</v>
      </c>
      <c r="AY17" s="2">
        <v>4999</v>
      </c>
      <c r="AZ17" s="34"/>
      <c r="BA17" s="12">
        <f t="shared" si="15"/>
        <v>302</v>
      </c>
      <c r="BB17" s="14">
        <f t="shared" si="16"/>
        <v>0</v>
      </c>
      <c r="BC17" s="13" t="e">
        <f t="shared" si="17"/>
        <v>#DIV/0!</v>
      </c>
      <c r="BE17" s="16">
        <v>76</v>
      </c>
      <c r="BF17" s="31" t="s">
        <v>32</v>
      </c>
      <c r="BG17" s="35">
        <v>5292</v>
      </c>
      <c r="BH17" s="36"/>
      <c r="BI17" s="12">
        <f t="shared" si="18"/>
        <v>293</v>
      </c>
      <c r="BJ17" s="14">
        <f t="shared" si="19"/>
        <v>0</v>
      </c>
      <c r="BK17" s="13" t="e">
        <f t="shared" si="20"/>
        <v>#DIV/0!</v>
      </c>
      <c r="BL17" s="7"/>
      <c r="BM17" s="16">
        <v>76</v>
      </c>
      <c r="BN17" s="31" t="s">
        <v>32</v>
      </c>
      <c r="BO17" s="35">
        <v>5083</v>
      </c>
      <c r="BP17" s="36"/>
      <c r="BQ17" s="12">
        <f t="shared" si="21"/>
        <v>-209</v>
      </c>
      <c r="BR17" s="14">
        <f t="shared" si="22"/>
        <v>0</v>
      </c>
      <c r="BS17" s="13" t="e">
        <f t="shared" si="23"/>
        <v>#DIV/0!</v>
      </c>
      <c r="BU17" s="16">
        <v>76</v>
      </c>
      <c r="BV17" s="31" t="s">
        <v>32</v>
      </c>
      <c r="BW17" s="35">
        <v>4153</v>
      </c>
      <c r="BX17" s="36"/>
      <c r="BY17" s="12">
        <f t="shared" si="24"/>
        <v>-930</v>
      </c>
      <c r="BZ17" s="14">
        <f t="shared" si="25"/>
        <v>0</v>
      </c>
      <c r="CA17" s="13" t="e">
        <f t="shared" si="26"/>
        <v>#DIV/0!</v>
      </c>
      <c r="CC17" s="16">
        <v>76</v>
      </c>
      <c r="CD17" s="31" t="s">
        <v>32</v>
      </c>
      <c r="CE17" s="35">
        <v>8589</v>
      </c>
      <c r="CF17" s="36"/>
      <c r="CG17" s="12">
        <f t="shared" si="27"/>
        <v>4436</v>
      </c>
      <c r="CH17" s="14">
        <f t="shared" si="28"/>
        <v>0</v>
      </c>
      <c r="CI17" s="13" t="e">
        <f t="shared" si="29"/>
        <v>#DIV/0!</v>
      </c>
      <c r="CK17" s="16">
        <v>76</v>
      </c>
      <c r="CL17" s="31" t="s">
        <v>32</v>
      </c>
      <c r="CM17" s="35">
        <v>13915</v>
      </c>
      <c r="CN17" s="36"/>
      <c r="CO17" s="12">
        <f t="shared" si="30"/>
        <v>5326</v>
      </c>
      <c r="CP17" s="14">
        <f t="shared" si="31"/>
        <v>0</v>
      </c>
      <c r="CQ17" s="13" t="e">
        <f t="shared" si="32"/>
        <v>#DIV/0!</v>
      </c>
      <c r="CS17" s="16">
        <v>76</v>
      </c>
      <c r="CT17" s="31" t="s">
        <v>32</v>
      </c>
      <c r="CU17" s="35">
        <v>17982</v>
      </c>
      <c r="CV17" s="36"/>
      <c r="CW17" s="12">
        <f t="shared" si="33"/>
        <v>4067</v>
      </c>
      <c r="CX17" s="14">
        <f t="shared" si="34"/>
        <v>0</v>
      </c>
      <c r="CY17" s="13" t="e">
        <f t="shared" si="35"/>
        <v>#DIV/0!</v>
      </c>
    </row>
    <row r="18" spans="1:103" s="2" customFormat="1" ht="20" customHeight="1">
      <c r="A18" s="16"/>
      <c r="B18" s="31" t="s">
        <v>33</v>
      </c>
      <c r="C18" s="2">
        <v>7</v>
      </c>
      <c r="D18" s="34"/>
      <c r="F18" s="34"/>
      <c r="G18" s="7"/>
      <c r="I18" s="16"/>
      <c r="J18" s="31" t="s">
        <v>33</v>
      </c>
      <c r="K18" s="2">
        <v>6</v>
      </c>
      <c r="L18" s="34"/>
      <c r="M18" s="12">
        <f t="shared" si="39"/>
        <v>-1</v>
      </c>
      <c r="N18" s="14">
        <f t="shared" si="40"/>
        <v>0</v>
      </c>
      <c r="O18" s="13" t="e">
        <f t="shared" si="41"/>
        <v>#DIV/0!</v>
      </c>
      <c r="Q18" s="16"/>
      <c r="R18" s="31" t="s">
        <v>33</v>
      </c>
      <c r="S18" s="2">
        <v>3</v>
      </c>
      <c r="T18" s="34"/>
      <c r="U18" s="12">
        <f t="shared" si="3"/>
        <v>-3</v>
      </c>
      <c r="V18" s="14">
        <f t="shared" si="4"/>
        <v>0</v>
      </c>
      <c r="W18" s="13" t="e">
        <f t="shared" si="5"/>
        <v>#DIV/0!</v>
      </c>
      <c r="Y18" s="16"/>
      <c r="Z18" s="31" t="s">
        <v>33</v>
      </c>
      <c r="AA18" s="2">
        <v>3</v>
      </c>
      <c r="AB18" s="34"/>
      <c r="AC18" s="12">
        <f t="shared" si="6"/>
        <v>0</v>
      </c>
      <c r="AD18" s="14">
        <f t="shared" si="7"/>
        <v>0</v>
      </c>
      <c r="AE18" s="13" t="e">
        <f t="shared" si="8"/>
        <v>#DIV/0!</v>
      </c>
      <c r="AG18" s="16"/>
      <c r="AH18" s="31" t="s">
        <v>33</v>
      </c>
      <c r="AI18" s="2">
        <v>3</v>
      </c>
      <c r="AJ18" s="34"/>
      <c r="AK18" s="12">
        <f t="shared" si="9"/>
        <v>0</v>
      </c>
      <c r="AL18" s="14">
        <f t="shared" si="10"/>
        <v>0</v>
      </c>
      <c r="AM18" s="13" t="e">
        <f t="shared" si="11"/>
        <v>#DIV/0!</v>
      </c>
      <c r="AO18" s="16"/>
      <c r="AP18" s="31" t="s">
        <v>33</v>
      </c>
      <c r="AQ18" s="2">
        <v>2</v>
      </c>
      <c r="AR18" s="34"/>
      <c r="AS18" s="12">
        <f t="shared" si="12"/>
        <v>-1</v>
      </c>
      <c r="AT18" s="14">
        <f t="shared" si="13"/>
        <v>0</v>
      </c>
      <c r="AU18" s="13" t="e">
        <f t="shared" si="14"/>
        <v>#DIV/0!</v>
      </c>
      <c r="AW18" s="16"/>
      <c r="AX18" s="31" t="s">
        <v>33</v>
      </c>
      <c r="AY18" s="2">
        <v>5</v>
      </c>
      <c r="AZ18" s="34"/>
      <c r="BA18" s="12">
        <f t="shared" si="15"/>
        <v>3</v>
      </c>
      <c r="BB18" s="14">
        <f t="shared" si="16"/>
        <v>0</v>
      </c>
      <c r="BC18" s="13" t="e">
        <f t="shared" si="17"/>
        <v>#DIV/0!</v>
      </c>
      <c r="BE18" s="16"/>
      <c r="BF18" s="31" t="s">
        <v>33</v>
      </c>
      <c r="BG18" s="35">
        <v>0</v>
      </c>
      <c r="BH18" s="36"/>
      <c r="BI18" s="12">
        <f t="shared" si="18"/>
        <v>-5</v>
      </c>
      <c r="BJ18" s="14">
        <f t="shared" si="19"/>
        <v>0</v>
      </c>
      <c r="BK18" s="13" t="e">
        <f t="shared" si="20"/>
        <v>#DIV/0!</v>
      </c>
      <c r="BL18" s="7"/>
      <c r="BM18" s="16"/>
      <c r="BN18" s="31" t="s">
        <v>33</v>
      </c>
      <c r="BO18" s="35">
        <v>2</v>
      </c>
      <c r="BP18" s="36"/>
      <c r="BQ18" s="12">
        <f t="shared" si="21"/>
        <v>2</v>
      </c>
      <c r="BR18" s="14">
        <f t="shared" si="22"/>
        <v>0</v>
      </c>
      <c r="BS18" s="13" t="e">
        <f t="shared" si="23"/>
        <v>#DIV/0!</v>
      </c>
      <c r="BU18" s="16"/>
      <c r="BV18" s="31" t="s">
        <v>33</v>
      </c>
      <c r="BW18" s="35">
        <v>1</v>
      </c>
      <c r="BX18" s="36"/>
      <c r="BY18" s="12">
        <f t="shared" si="24"/>
        <v>-1</v>
      </c>
      <c r="BZ18" s="14">
        <f t="shared" si="25"/>
        <v>0</v>
      </c>
      <c r="CA18" s="13" t="e">
        <f t="shared" si="26"/>
        <v>#DIV/0!</v>
      </c>
      <c r="CC18" s="16"/>
      <c r="CD18" s="31" t="s">
        <v>33</v>
      </c>
      <c r="CE18" s="35">
        <v>3</v>
      </c>
      <c r="CF18" s="36"/>
      <c r="CG18" s="12">
        <f t="shared" si="27"/>
        <v>2</v>
      </c>
      <c r="CH18" s="14">
        <f t="shared" si="28"/>
        <v>0</v>
      </c>
      <c r="CI18" s="13" t="e">
        <f t="shared" si="29"/>
        <v>#DIV/0!</v>
      </c>
      <c r="CK18" s="16"/>
      <c r="CL18" s="31" t="s">
        <v>33</v>
      </c>
      <c r="CM18" s="35">
        <v>26</v>
      </c>
      <c r="CN18" s="36"/>
      <c r="CO18" s="12">
        <f t="shared" si="30"/>
        <v>23</v>
      </c>
      <c r="CP18" s="14">
        <f t="shared" si="31"/>
        <v>0</v>
      </c>
      <c r="CQ18" s="13" t="e">
        <f t="shared" si="32"/>
        <v>#DIV/0!</v>
      </c>
      <c r="CS18" s="16"/>
      <c r="CT18" s="31" t="s">
        <v>33</v>
      </c>
      <c r="CU18" s="35">
        <v>54</v>
      </c>
      <c r="CV18" s="36"/>
      <c r="CW18" s="12">
        <f t="shared" si="33"/>
        <v>28</v>
      </c>
      <c r="CX18" s="14">
        <f t="shared" si="34"/>
        <v>0</v>
      </c>
      <c r="CY18" s="13" t="e">
        <f t="shared" si="35"/>
        <v>#DIV/0!</v>
      </c>
    </row>
    <row r="19" spans="1:103" s="12" customFormat="1" ht="20" customHeight="1">
      <c r="A19" s="16"/>
      <c r="B19" s="15" t="s">
        <v>10</v>
      </c>
      <c r="C19" s="12">
        <v>133</v>
      </c>
      <c r="D19" s="14">
        <v>124129.52380899004</v>
      </c>
      <c r="E19" s="12" t="e">
        <f>C19-#REF!</f>
        <v>#REF!</v>
      </c>
      <c r="F19" s="14" t="e">
        <f>D19-#REF!</f>
        <v>#REF!</v>
      </c>
      <c r="G19" s="13" t="e">
        <f>(D19-#REF!)/#REF!</f>
        <v>#REF!</v>
      </c>
      <c r="I19" s="16"/>
      <c r="J19" s="15" t="s">
        <v>10</v>
      </c>
      <c r="K19" s="12">
        <v>175</v>
      </c>
      <c r="L19" s="14">
        <v>171392.38095174005</v>
      </c>
      <c r="M19" s="12">
        <f t="shared" ref="M19:M65" si="42">K19-C19</f>
        <v>42</v>
      </c>
      <c r="N19" s="14">
        <f t="shared" ref="N19:N65" si="43">L19-D19</f>
        <v>47262.857142750014</v>
      </c>
      <c r="O19" s="13">
        <f t="shared" ref="O19:O65" si="44">(L19-D19)/D19</f>
        <v>0.38075435796787466</v>
      </c>
      <c r="Q19" s="16"/>
      <c r="R19" s="15" t="s">
        <v>10</v>
      </c>
      <c r="S19" s="12">
        <v>197</v>
      </c>
      <c r="T19" s="14">
        <v>170164.76190417996</v>
      </c>
      <c r="U19" s="12">
        <f t="shared" si="3"/>
        <v>22</v>
      </c>
      <c r="V19" s="14">
        <f t="shared" si="4"/>
        <v>-1227.6190475600888</v>
      </c>
      <c r="W19" s="13">
        <f t="shared" si="5"/>
        <v>-7.162623220140437E-3</v>
      </c>
      <c r="Y19" s="16"/>
      <c r="Z19" s="15" t="s">
        <v>10</v>
      </c>
      <c r="AA19" s="12">
        <v>174</v>
      </c>
      <c r="AB19" s="14">
        <v>173872.38095181002</v>
      </c>
      <c r="AC19" s="12">
        <f t="shared" si="6"/>
        <v>-23</v>
      </c>
      <c r="AD19" s="14">
        <f t="shared" si="7"/>
        <v>3707.6190476300544</v>
      </c>
      <c r="AE19" s="13">
        <f t="shared" si="8"/>
        <v>2.1788406754377387E-2</v>
      </c>
      <c r="AG19" s="16"/>
      <c r="AH19" s="15" t="s">
        <v>10</v>
      </c>
      <c r="AI19" s="12">
        <v>147</v>
      </c>
      <c r="AJ19" s="14">
        <v>122760.95238048999</v>
      </c>
      <c r="AK19" s="12">
        <f t="shared" si="9"/>
        <v>-27</v>
      </c>
      <c r="AL19" s="14">
        <f t="shared" si="10"/>
        <v>-51111.428571320022</v>
      </c>
      <c r="AM19" s="13">
        <f t="shared" si="11"/>
        <v>-0.29395944480386405</v>
      </c>
      <c r="AO19" s="16"/>
      <c r="AP19" s="15" t="s">
        <v>10</v>
      </c>
      <c r="AQ19" s="12">
        <v>175</v>
      </c>
      <c r="AR19" s="14">
        <v>146164.76190418997</v>
      </c>
      <c r="AS19" s="12">
        <f t="shared" si="12"/>
        <v>28</v>
      </c>
      <c r="AT19" s="14">
        <f t="shared" si="13"/>
        <v>23403.80952369998</v>
      </c>
      <c r="AU19" s="13">
        <f t="shared" si="14"/>
        <v>0.19064538902534184</v>
      </c>
      <c r="AW19" s="16"/>
      <c r="AX19" s="15" t="s">
        <v>10</v>
      </c>
      <c r="AY19" s="12">
        <v>139</v>
      </c>
      <c r="AZ19" s="14">
        <v>130604.76190429</v>
      </c>
      <c r="BA19" s="12">
        <f t="shared" si="15"/>
        <v>-36</v>
      </c>
      <c r="BB19" s="14">
        <f t="shared" si="16"/>
        <v>-15559.99999989997</v>
      </c>
      <c r="BC19" s="13">
        <f t="shared" si="17"/>
        <v>-0.10645520710456496</v>
      </c>
      <c r="BE19" s="16"/>
      <c r="BF19" s="15" t="s">
        <v>10</v>
      </c>
      <c r="BG19" s="12">
        <v>121</v>
      </c>
      <c r="BH19" s="14">
        <v>126782.85714237001</v>
      </c>
      <c r="BI19" s="12">
        <f t="shared" si="18"/>
        <v>-18</v>
      </c>
      <c r="BJ19" s="14">
        <f t="shared" si="19"/>
        <v>-3821.9047619199991</v>
      </c>
      <c r="BK19" s="13">
        <f t="shared" si="20"/>
        <v>-2.926313486732416E-2</v>
      </c>
      <c r="BL19" s="17"/>
      <c r="BM19" s="16"/>
      <c r="BN19" s="15" t="s">
        <v>10</v>
      </c>
      <c r="BO19" s="12">
        <v>143</v>
      </c>
      <c r="BP19" s="14">
        <v>134035.23809475001</v>
      </c>
      <c r="BQ19" s="12">
        <f t="shared" si="21"/>
        <v>22</v>
      </c>
      <c r="BR19" s="14">
        <f t="shared" si="22"/>
        <v>7252.380952380001</v>
      </c>
      <c r="BS19" s="13">
        <f t="shared" si="23"/>
        <v>5.7203167019938557E-2</v>
      </c>
      <c r="BU19" s="16"/>
      <c r="BV19" s="15" t="s">
        <v>10</v>
      </c>
      <c r="BW19" s="12">
        <v>96</v>
      </c>
      <c r="BX19" s="14">
        <v>102480.95238059999</v>
      </c>
      <c r="BY19" s="12">
        <f t="shared" si="24"/>
        <v>-47</v>
      </c>
      <c r="BZ19" s="14">
        <f t="shared" si="25"/>
        <v>-31554.285714150014</v>
      </c>
      <c r="CA19" s="13">
        <f t="shared" si="26"/>
        <v>-0.23541783610548872</v>
      </c>
      <c r="CC19" s="16"/>
      <c r="CD19" s="15" t="s">
        <v>10</v>
      </c>
      <c r="CE19" s="12">
        <v>168</v>
      </c>
      <c r="CF19" s="14">
        <v>173800.95238031985</v>
      </c>
      <c r="CG19" s="12">
        <f t="shared" si="27"/>
        <v>72</v>
      </c>
      <c r="CH19" s="14">
        <f t="shared" si="28"/>
        <v>71319.999999719861</v>
      </c>
      <c r="CI19" s="13">
        <f t="shared" si="29"/>
        <v>0.69593420380059812</v>
      </c>
      <c r="CK19" s="16"/>
      <c r="CL19" s="15" t="s">
        <v>10</v>
      </c>
      <c r="CM19" s="12">
        <v>184</v>
      </c>
      <c r="CN19" s="14">
        <v>179676.19047543991</v>
      </c>
      <c r="CO19" s="12">
        <f t="shared" si="30"/>
        <v>16</v>
      </c>
      <c r="CP19" s="14">
        <f t="shared" si="31"/>
        <v>5875.2380951200612</v>
      </c>
      <c r="CQ19" s="13">
        <f t="shared" si="32"/>
        <v>3.3804406792107639E-2</v>
      </c>
      <c r="CS19" s="16"/>
      <c r="CT19" s="15" t="s">
        <v>10</v>
      </c>
      <c r="CU19" s="12">
        <v>316</v>
      </c>
      <c r="CV19" s="14">
        <v>316261.90476082999</v>
      </c>
      <c r="CW19" s="12">
        <f t="shared" si="33"/>
        <v>132</v>
      </c>
      <c r="CX19" s="14">
        <f t="shared" si="34"/>
        <v>136585.71428539007</v>
      </c>
      <c r="CY19" s="13">
        <f t="shared" si="35"/>
        <v>0.76017703805925296</v>
      </c>
    </row>
    <row r="20" spans="1:103" s="12" customFormat="1" ht="20" customHeight="1">
      <c r="A20" s="16"/>
      <c r="B20" s="15" t="s">
        <v>9</v>
      </c>
      <c r="C20" s="12">
        <v>211</v>
      </c>
      <c r="D20" s="14">
        <v>269971.42857128993</v>
      </c>
      <c r="E20" s="12" t="e">
        <f>C20-#REF!</f>
        <v>#REF!</v>
      </c>
      <c r="F20" s="14" t="e">
        <f>D20-#REF!</f>
        <v>#REF!</v>
      </c>
      <c r="G20" s="13" t="e">
        <f>(D20-#REF!)/#REF!</f>
        <v>#REF!</v>
      </c>
      <c r="I20" s="16"/>
      <c r="J20" s="15" t="s">
        <v>9</v>
      </c>
      <c r="K20" s="12">
        <v>227</v>
      </c>
      <c r="L20" s="14">
        <v>285133.33333321003</v>
      </c>
      <c r="M20" s="12">
        <f t="shared" si="42"/>
        <v>16</v>
      </c>
      <c r="N20" s="14">
        <f t="shared" si="43"/>
        <v>15161.904761920101</v>
      </c>
      <c r="O20" s="13">
        <f t="shared" si="44"/>
        <v>5.6161145800346708E-2</v>
      </c>
      <c r="Q20" s="16"/>
      <c r="R20" s="15" t="s">
        <v>9</v>
      </c>
      <c r="S20" s="12">
        <v>165</v>
      </c>
      <c r="T20" s="14">
        <v>230670.47619033002</v>
      </c>
      <c r="U20" s="12">
        <f t="shared" si="3"/>
        <v>-62</v>
      </c>
      <c r="V20" s="14">
        <f t="shared" si="4"/>
        <v>-54462.857142880006</v>
      </c>
      <c r="W20" s="13">
        <f t="shared" si="5"/>
        <v>-0.19100838371371368</v>
      </c>
      <c r="Y20" s="16"/>
      <c r="Z20" s="15" t="s">
        <v>9</v>
      </c>
      <c r="AA20" s="12">
        <v>173</v>
      </c>
      <c r="AB20" s="14">
        <v>190933.33333322001</v>
      </c>
      <c r="AC20" s="12">
        <f t="shared" si="6"/>
        <v>8</v>
      </c>
      <c r="AD20" s="14">
        <f t="shared" si="7"/>
        <v>-39737.142857110011</v>
      </c>
      <c r="AE20" s="13">
        <f t="shared" si="8"/>
        <v>-0.17226800548294804</v>
      </c>
      <c r="AG20" s="16"/>
      <c r="AH20" s="15" t="s">
        <v>9</v>
      </c>
      <c r="AI20" s="12">
        <v>169</v>
      </c>
      <c r="AJ20" s="14">
        <v>178391.42857129005</v>
      </c>
      <c r="AK20" s="12">
        <f t="shared" si="9"/>
        <v>-4</v>
      </c>
      <c r="AL20" s="14">
        <f t="shared" si="10"/>
        <v>-12541.904761929967</v>
      </c>
      <c r="AM20" s="13">
        <f t="shared" si="11"/>
        <v>-6.568735035930906E-2</v>
      </c>
      <c r="AO20" s="16"/>
      <c r="AP20" s="15" t="s">
        <v>9</v>
      </c>
      <c r="AQ20" s="12">
        <v>162</v>
      </c>
      <c r="AR20" s="14">
        <v>194809.52380937999</v>
      </c>
      <c r="AS20" s="12">
        <f t="shared" si="12"/>
        <v>-7</v>
      </c>
      <c r="AT20" s="14">
        <f t="shared" si="13"/>
        <v>16418.09523808994</v>
      </c>
      <c r="AU20" s="13">
        <f t="shared" si="14"/>
        <v>9.2034103709914647E-2</v>
      </c>
      <c r="AW20" s="16"/>
      <c r="AX20" s="15" t="s">
        <v>9</v>
      </c>
      <c r="AY20" s="12">
        <v>197</v>
      </c>
      <c r="AZ20" s="14">
        <v>245409.52380936005</v>
      </c>
      <c r="BA20" s="12">
        <f t="shared" si="15"/>
        <v>35</v>
      </c>
      <c r="BB20" s="14">
        <f t="shared" si="16"/>
        <v>50599.999999980064</v>
      </c>
      <c r="BC20" s="13">
        <f t="shared" si="17"/>
        <v>0.25974089464687505</v>
      </c>
      <c r="BE20" s="16"/>
      <c r="BF20" s="15" t="s">
        <v>9</v>
      </c>
      <c r="BG20" s="12">
        <v>216</v>
      </c>
      <c r="BH20" s="14">
        <v>248277.14285703999</v>
      </c>
      <c r="BI20" s="12">
        <f t="shared" si="18"/>
        <v>19</v>
      </c>
      <c r="BJ20" s="14">
        <f t="shared" si="19"/>
        <v>2867.6190476799384</v>
      </c>
      <c r="BK20" s="13">
        <f t="shared" si="20"/>
        <v>1.1685035703453681E-2</v>
      </c>
      <c r="BL20" s="17"/>
      <c r="BM20" s="16"/>
      <c r="BN20" s="15" t="s">
        <v>9</v>
      </c>
      <c r="BO20" s="12">
        <v>215</v>
      </c>
      <c r="BP20" s="14">
        <v>231905.71428558</v>
      </c>
      <c r="BQ20" s="12">
        <f t="shared" si="21"/>
        <v>-1</v>
      </c>
      <c r="BR20" s="14">
        <f t="shared" si="22"/>
        <v>-16371.428571459983</v>
      </c>
      <c r="BS20" s="13">
        <f t="shared" si="23"/>
        <v>-6.5940136023261653E-2</v>
      </c>
      <c r="BU20" s="16"/>
      <c r="BV20" s="15" t="s">
        <v>9</v>
      </c>
      <c r="BW20" s="12">
        <v>196</v>
      </c>
      <c r="BX20" s="14">
        <v>204012.38095227</v>
      </c>
      <c r="BY20" s="12">
        <f t="shared" si="24"/>
        <v>-19</v>
      </c>
      <c r="BZ20" s="14">
        <f t="shared" si="25"/>
        <v>-27893.333333310002</v>
      </c>
      <c r="CA20" s="13">
        <f t="shared" si="26"/>
        <v>-0.12027876682228188</v>
      </c>
      <c r="CC20" s="16"/>
      <c r="CD20" s="15" t="s">
        <v>9</v>
      </c>
      <c r="CE20" s="12">
        <v>206</v>
      </c>
      <c r="CF20" s="14">
        <v>290361.90476179001</v>
      </c>
      <c r="CG20" s="12">
        <f t="shared" si="27"/>
        <v>10</v>
      </c>
      <c r="CH20" s="14">
        <f t="shared" si="28"/>
        <v>86349.523809520004</v>
      </c>
      <c r="CI20" s="13">
        <f t="shared" si="29"/>
        <v>0.42325629163517298</v>
      </c>
      <c r="CK20" s="16"/>
      <c r="CL20" s="15" t="s">
        <v>9</v>
      </c>
      <c r="CM20" s="12">
        <v>308</v>
      </c>
      <c r="CN20" s="14">
        <v>376583.80952357996</v>
      </c>
      <c r="CO20" s="12">
        <f t="shared" si="30"/>
        <v>102</v>
      </c>
      <c r="CP20" s="14">
        <f t="shared" si="31"/>
        <v>86221.904761789949</v>
      </c>
      <c r="CQ20" s="13">
        <f t="shared" si="32"/>
        <v>0.29694633954314886</v>
      </c>
      <c r="CS20" s="16"/>
      <c r="CT20" s="15" t="s">
        <v>9</v>
      </c>
      <c r="CU20" s="12">
        <v>387</v>
      </c>
      <c r="CV20" s="14">
        <v>487510.4761902499</v>
      </c>
      <c r="CW20" s="12">
        <f t="shared" si="33"/>
        <v>79</v>
      </c>
      <c r="CX20" s="14">
        <f t="shared" si="34"/>
        <v>110926.66666666995</v>
      </c>
      <c r="CY20" s="13">
        <f t="shared" si="35"/>
        <v>0.29456037105526234</v>
      </c>
    </row>
    <row r="21" spans="1:103" s="12" customFormat="1" ht="20" customHeight="1">
      <c r="A21" s="16"/>
      <c r="B21" s="15" t="s">
        <v>8</v>
      </c>
      <c r="C21" s="12">
        <v>45</v>
      </c>
      <c r="D21" s="14">
        <v>282428.57142856001</v>
      </c>
      <c r="E21" s="12" t="e">
        <f>C21-#REF!</f>
        <v>#REF!</v>
      </c>
      <c r="F21" s="14" t="e">
        <f>D21-#REF!</f>
        <v>#REF!</v>
      </c>
      <c r="G21" s="13" t="e">
        <f>(D21-#REF!)/#REF!</f>
        <v>#REF!</v>
      </c>
      <c r="I21" s="16"/>
      <c r="J21" s="15" t="s">
        <v>8</v>
      </c>
      <c r="K21" s="12">
        <v>39</v>
      </c>
      <c r="L21" s="14">
        <v>274199.99999997998</v>
      </c>
      <c r="M21" s="12">
        <f t="shared" si="42"/>
        <v>-6</v>
      </c>
      <c r="N21" s="14">
        <f t="shared" si="43"/>
        <v>-8228.571428580035</v>
      </c>
      <c r="O21" s="13">
        <f t="shared" si="44"/>
        <v>-2.913505311080555E-2</v>
      </c>
      <c r="Q21" s="16"/>
      <c r="R21" s="15" t="s">
        <v>8</v>
      </c>
      <c r="S21" s="12">
        <v>52</v>
      </c>
      <c r="T21" s="14">
        <v>314647.61904759996</v>
      </c>
      <c r="U21" s="12">
        <f t="shared" si="3"/>
        <v>13</v>
      </c>
      <c r="V21" s="14">
        <f t="shared" si="4"/>
        <v>40447.619047619984</v>
      </c>
      <c r="W21" s="13">
        <f t="shared" si="5"/>
        <v>0.14751137508250525</v>
      </c>
      <c r="Y21" s="16"/>
      <c r="Z21" s="15" t="s">
        <v>8</v>
      </c>
      <c r="AA21" s="12">
        <v>35</v>
      </c>
      <c r="AB21" s="14">
        <v>211380.95238094</v>
      </c>
      <c r="AC21" s="12">
        <f t="shared" si="6"/>
        <v>-17</v>
      </c>
      <c r="AD21" s="14">
        <f t="shared" si="7"/>
        <v>-103266.66666665996</v>
      </c>
      <c r="AE21" s="13">
        <f t="shared" si="8"/>
        <v>-0.32819783279859416</v>
      </c>
      <c r="AG21" s="16"/>
      <c r="AH21" s="15" t="s">
        <v>8</v>
      </c>
      <c r="AI21" s="12">
        <v>36</v>
      </c>
      <c r="AJ21" s="14">
        <v>210799.99999999002</v>
      </c>
      <c r="AK21" s="12">
        <f t="shared" si="9"/>
        <v>1</v>
      </c>
      <c r="AL21" s="14">
        <f t="shared" si="10"/>
        <v>-580.95238094998058</v>
      </c>
      <c r="AM21" s="13">
        <f t="shared" si="11"/>
        <v>-2.7483667492566584E-3</v>
      </c>
      <c r="AO21" s="16"/>
      <c r="AP21" s="15" t="s">
        <v>8</v>
      </c>
      <c r="AQ21" s="12">
        <v>49</v>
      </c>
      <c r="AR21" s="14">
        <v>309247.61904760002</v>
      </c>
      <c r="AS21" s="12">
        <f t="shared" si="12"/>
        <v>13</v>
      </c>
      <c r="AT21" s="14">
        <f t="shared" si="13"/>
        <v>98447.619047610002</v>
      </c>
      <c r="AU21" s="13">
        <f t="shared" si="14"/>
        <v>0.46701906569077167</v>
      </c>
      <c r="AW21" s="16"/>
      <c r="AX21" s="15" t="s">
        <v>8</v>
      </c>
      <c r="AY21" s="12">
        <v>34</v>
      </c>
      <c r="AZ21" s="14">
        <v>224057.14285712002</v>
      </c>
      <c r="BA21" s="12">
        <f t="shared" si="15"/>
        <v>-15</v>
      </c>
      <c r="BB21" s="14">
        <f t="shared" si="16"/>
        <v>-85190.476190479996</v>
      </c>
      <c r="BC21" s="13">
        <f t="shared" si="17"/>
        <v>-0.27547657910138124</v>
      </c>
      <c r="BE21" s="16"/>
      <c r="BF21" s="15" t="s">
        <v>8</v>
      </c>
      <c r="BG21" s="12">
        <v>43</v>
      </c>
      <c r="BH21" s="14">
        <v>283304.76190474001</v>
      </c>
      <c r="BI21" s="12">
        <f t="shared" si="18"/>
        <v>9</v>
      </c>
      <c r="BJ21" s="14">
        <f t="shared" si="19"/>
        <v>59247.619047619984</v>
      </c>
      <c r="BK21" s="13">
        <f t="shared" si="20"/>
        <v>0.26443084247218962</v>
      </c>
      <c r="BL21" s="17"/>
      <c r="BM21" s="16"/>
      <c r="BN21" s="15" t="s">
        <v>8</v>
      </c>
      <c r="BO21" s="12">
        <v>42</v>
      </c>
      <c r="BP21" s="14">
        <v>238076.19047616998</v>
      </c>
      <c r="BQ21" s="12">
        <f t="shared" si="21"/>
        <v>-1</v>
      </c>
      <c r="BR21" s="14">
        <f t="shared" si="22"/>
        <v>-45228.571428570023</v>
      </c>
      <c r="BS21" s="13">
        <f t="shared" si="23"/>
        <v>-0.15964635089253434</v>
      </c>
      <c r="BU21" s="16"/>
      <c r="BV21" s="15" t="s">
        <v>8</v>
      </c>
      <c r="BW21" s="12">
        <v>26</v>
      </c>
      <c r="BX21" s="14">
        <v>190323.80952379</v>
      </c>
      <c r="BY21" s="12">
        <f t="shared" si="24"/>
        <v>-16</v>
      </c>
      <c r="BZ21" s="14">
        <f t="shared" si="25"/>
        <v>-47752.380952379986</v>
      </c>
      <c r="CA21" s="13">
        <f t="shared" si="26"/>
        <v>-0.20057604608369989</v>
      </c>
      <c r="CC21" s="16"/>
      <c r="CD21" s="15" t="s">
        <v>8</v>
      </c>
      <c r="CE21" s="12">
        <v>39</v>
      </c>
      <c r="CF21" s="14">
        <v>251057.14285711001</v>
      </c>
      <c r="CG21" s="12">
        <f t="shared" si="27"/>
        <v>13</v>
      </c>
      <c r="CH21" s="14">
        <f t="shared" si="28"/>
        <v>60733.333333320013</v>
      </c>
      <c r="CI21" s="13">
        <f t="shared" si="29"/>
        <v>0.31910528422734463</v>
      </c>
      <c r="CK21" s="16"/>
      <c r="CL21" s="15" t="s">
        <v>8</v>
      </c>
      <c r="CM21" s="12">
        <v>36</v>
      </c>
      <c r="CN21" s="14">
        <v>228186.66666664</v>
      </c>
      <c r="CO21" s="12">
        <f t="shared" si="30"/>
        <v>-3</v>
      </c>
      <c r="CP21" s="14">
        <f t="shared" si="31"/>
        <v>-22870.476190470014</v>
      </c>
      <c r="CQ21" s="13">
        <f t="shared" si="32"/>
        <v>-9.1096695876471512E-2</v>
      </c>
      <c r="CS21" s="16"/>
      <c r="CT21" s="15" t="s">
        <v>8</v>
      </c>
      <c r="CU21" s="12">
        <v>40</v>
      </c>
      <c r="CV21" s="14">
        <v>284190.47619045002</v>
      </c>
      <c r="CW21" s="12">
        <f t="shared" si="33"/>
        <v>4</v>
      </c>
      <c r="CX21" s="14">
        <f t="shared" si="34"/>
        <v>56003.809523810021</v>
      </c>
      <c r="CY21" s="13">
        <f t="shared" si="35"/>
        <v>0.24542980684154742</v>
      </c>
    </row>
    <row r="22" spans="1:103" s="12" customFormat="1" ht="20" customHeight="1">
      <c r="A22" s="16"/>
      <c r="B22" s="15" t="s">
        <v>7</v>
      </c>
      <c r="C22" s="12">
        <v>28</v>
      </c>
      <c r="D22" s="14">
        <v>384689.52380944998</v>
      </c>
      <c r="E22" s="12" t="e">
        <f>C22-#REF!</f>
        <v>#REF!</v>
      </c>
      <c r="F22" s="14" t="e">
        <f>D22-#REF!</f>
        <v>#REF!</v>
      </c>
      <c r="G22" s="13" t="e">
        <f>(D22-#REF!)/#REF!</f>
        <v>#REF!</v>
      </c>
      <c r="I22" s="16"/>
      <c r="J22" s="15" t="s">
        <v>7</v>
      </c>
      <c r="K22" s="12">
        <v>26</v>
      </c>
      <c r="L22" s="14">
        <v>293904.76190470002</v>
      </c>
      <c r="M22" s="12">
        <f t="shared" si="42"/>
        <v>-2</v>
      </c>
      <c r="N22" s="14">
        <f t="shared" si="43"/>
        <v>-90784.761904749961</v>
      </c>
      <c r="O22" s="13">
        <f t="shared" si="44"/>
        <v>-0.23599489012786007</v>
      </c>
      <c r="Q22" s="16"/>
      <c r="R22" s="15" t="s">
        <v>7</v>
      </c>
      <c r="S22" s="12">
        <v>40</v>
      </c>
      <c r="T22" s="14">
        <v>523428.5714285</v>
      </c>
      <c r="U22" s="12">
        <f t="shared" si="3"/>
        <v>14</v>
      </c>
      <c r="V22" s="14">
        <f t="shared" si="4"/>
        <v>229523.80952379998</v>
      </c>
      <c r="W22" s="13">
        <f t="shared" si="5"/>
        <v>0.78094620868451303</v>
      </c>
      <c r="Y22" s="16"/>
      <c r="Z22" s="15" t="s">
        <v>7</v>
      </c>
      <c r="AA22" s="12">
        <v>30</v>
      </c>
      <c r="AB22" s="14">
        <v>350571.42857137998</v>
      </c>
      <c r="AC22" s="12">
        <f t="shared" si="6"/>
        <v>-10</v>
      </c>
      <c r="AD22" s="14">
        <f t="shared" si="7"/>
        <v>-172857.14285712002</v>
      </c>
      <c r="AE22" s="13">
        <f t="shared" si="8"/>
        <v>-0.33024017467249051</v>
      </c>
      <c r="AG22" s="16"/>
      <c r="AH22" s="15" t="s">
        <v>7</v>
      </c>
      <c r="AI22" s="12">
        <v>23</v>
      </c>
      <c r="AJ22" s="14">
        <v>272666.66666662996</v>
      </c>
      <c r="AK22" s="12">
        <f t="shared" si="9"/>
        <v>-7</v>
      </c>
      <c r="AL22" s="14">
        <f t="shared" si="10"/>
        <v>-77904.761904750019</v>
      </c>
      <c r="AM22" s="13">
        <f t="shared" si="11"/>
        <v>-0.22222222222221913</v>
      </c>
      <c r="AO22" s="16"/>
      <c r="AP22" s="15" t="s">
        <v>7</v>
      </c>
      <c r="AQ22" s="12">
        <v>17</v>
      </c>
      <c r="AR22" s="14">
        <v>183809.52380949003</v>
      </c>
      <c r="AS22" s="12">
        <f t="shared" si="12"/>
        <v>-6</v>
      </c>
      <c r="AT22" s="14">
        <f t="shared" si="13"/>
        <v>-88857.14285713993</v>
      </c>
      <c r="AU22" s="13">
        <f t="shared" si="14"/>
        <v>-0.32588194201889448</v>
      </c>
      <c r="AW22" s="16"/>
      <c r="AX22" s="15" t="s">
        <v>7</v>
      </c>
      <c r="AY22" s="12">
        <v>9</v>
      </c>
      <c r="AZ22" s="14">
        <v>119333.33333329001</v>
      </c>
      <c r="BA22" s="12">
        <f t="shared" si="15"/>
        <v>-8</v>
      </c>
      <c r="BB22" s="14">
        <f t="shared" si="16"/>
        <v>-64476.190476200019</v>
      </c>
      <c r="BC22" s="13">
        <f t="shared" si="17"/>
        <v>-0.35077720207265523</v>
      </c>
      <c r="BE22" s="16"/>
      <c r="BF22" s="15" t="s">
        <v>7</v>
      </c>
      <c r="BG22" s="12">
        <v>4</v>
      </c>
      <c r="BH22" s="14">
        <v>50095.238095220004</v>
      </c>
      <c r="BI22" s="12">
        <f t="shared" si="18"/>
        <v>-5</v>
      </c>
      <c r="BJ22" s="14">
        <f t="shared" si="19"/>
        <v>-69238.095238070004</v>
      </c>
      <c r="BK22" s="13">
        <f t="shared" si="20"/>
        <v>-0.58020750199521065</v>
      </c>
      <c r="BL22" s="17"/>
      <c r="BM22" s="16"/>
      <c r="BN22" s="15" t="s">
        <v>7</v>
      </c>
      <c r="BO22" s="12">
        <v>2</v>
      </c>
      <c r="BP22" s="14">
        <v>53142.85714285</v>
      </c>
      <c r="BQ22" s="12">
        <f t="shared" si="21"/>
        <v>-2</v>
      </c>
      <c r="BR22" s="14">
        <f t="shared" si="22"/>
        <v>3047.6190476299962</v>
      </c>
      <c r="BS22" s="13">
        <f t="shared" si="23"/>
        <v>6.0836501901381207E-2</v>
      </c>
      <c r="BU22" s="16"/>
      <c r="BV22" s="15" t="s">
        <v>7</v>
      </c>
      <c r="BW22" s="12">
        <v>0</v>
      </c>
      <c r="BX22" s="14">
        <v>0</v>
      </c>
      <c r="BY22" s="12">
        <f t="shared" si="24"/>
        <v>-2</v>
      </c>
      <c r="BZ22" s="14">
        <f t="shared" si="25"/>
        <v>-53142.85714285</v>
      </c>
      <c r="CA22" s="13">
        <f t="shared" si="26"/>
        <v>-1</v>
      </c>
      <c r="CC22" s="16"/>
      <c r="CD22" s="15" t="s">
        <v>7</v>
      </c>
      <c r="CE22" s="12">
        <v>3</v>
      </c>
      <c r="CF22" s="14">
        <v>69790.476190460002</v>
      </c>
      <c r="CG22" s="12">
        <f t="shared" si="27"/>
        <v>3</v>
      </c>
      <c r="CH22" s="14">
        <f t="shared" si="28"/>
        <v>69790.476190460002</v>
      </c>
      <c r="CI22" s="13" t="e">
        <f t="shared" si="29"/>
        <v>#DIV/0!</v>
      </c>
      <c r="CK22" s="16"/>
      <c r="CL22" s="15" t="s">
        <v>7</v>
      </c>
      <c r="CM22" s="12">
        <v>59</v>
      </c>
      <c r="CN22" s="14">
        <v>855333.3333332201</v>
      </c>
      <c r="CO22" s="12">
        <f t="shared" si="30"/>
        <v>56</v>
      </c>
      <c r="CP22" s="14">
        <f t="shared" si="31"/>
        <v>785542.85714276007</v>
      </c>
      <c r="CQ22" s="13">
        <f t="shared" si="32"/>
        <v>11.255731441049255</v>
      </c>
      <c r="CS22" s="16"/>
      <c r="CT22" s="15" t="s">
        <v>7</v>
      </c>
      <c r="CU22" s="12">
        <v>88</v>
      </c>
      <c r="CV22" s="14">
        <v>1304952.38095224</v>
      </c>
      <c r="CW22" s="12">
        <f t="shared" si="33"/>
        <v>29</v>
      </c>
      <c r="CX22" s="14">
        <f t="shared" si="34"/>
        <v>449619.04761901987</v>
      </c>
      <c r="CY22" s="13">
        <f t="shared" si="35"/>
        <v>0.52566529339720891</v>
      </c>
    </row>
    <row r="23" spans="1:103" s="12" customFormat="1" ht="20" customHeight="1">
      <c r="A23" s="16"/>
      <c r="B23" s="15" t="s">
        <v>6</v>
      </c>
      <c r="C23" s="12">
        <v>1</v>
      </c>
      <c r="D23" s="14">
        <v>5237.1428571400002</v>
      </c>
      <c r="E23" s="12" t="e">
        <f>C23-#REF!</f>
        <v>#REF!</v>
      </c>
      <c r="F23" s="14" t="e">
        <f>D23-#REF!</f>
        <v>#REF!</v>
      </c>
      <c r="G23" s="13" t="e">
        <f>(D23-#REF!)/#REF!</f>
        <v>#REF!</v>
      </c>
      <c r="I23" s="16"/>
      <c r="J23" s="15" t="s">
        <v>6</v>
      </c>
      <c r="K23" s="12">
        <v>1</v>
      </c>
      <c r="L23" s="14">
        <v>8857.1428571399993</v>
      </c>
      <c r="M23" s="12">
        <f t="shared" si="42"/>
        <v>0</v>
      </c>
      <c r="N23" s="14">
        <f t="shared" si="43"/>
        <v>3619.9999999999991</v>
      </c>
      <c r="O23" s="13">
        <f t="shared" si="44"/>
        <v>0.69121658483398296</v>
      </c>
      <c r="Q23" s="16"/>
      <c r="R23" s="15" t="s">
        <v>6</v>
      </c>
      <c r="S23" s="12">
        <v>1</v>
      </c>
      <c r="T23" s="14">
        <v>5237.1428571400002</v>
      </c>
      <c r="U23" s="12">
        <f t="shared" si="3"/>
        <v>0</v>
      </c>
      <c r="V23" s="14">
        <f t="shared" si="4"/>
        <v>-3619.9999999999991</v>
      </c>
      <c r="W23" s="13">
        <f t="shared" si="5"/>
        <v>-0.40870967741948661</v>
      </c>
      <c r="Y23" s="16"/>
      <c r="Z23" s="15" t="s">
        <v>6</v>
      </c>
      <c r="AA23" s="12">
        <v>0</v>
      </c>
      <c r="AB23" s="14">
        <v>0</v>
      </c>
      <c r="AC23" s="12">
        <f t="shared" si="6"/>
        <v>-1</v>
      </c>
      <c r="AD23" s="14">
        <f t="shared" si="7"/>
        <v>-5237.1428571400002</v>
      </c>
      <c r="AE23" s="13">
        <f t="shared" si="8"/>
        <v>-1</v>
      </c>
      <c r="AG23" s="16"/>
      <c r="AH23" s="15" t="s">
        <v>6</v>
      </c>
      <c r="AJ23" s="14"/>
      <c r="AK23" s="12">
        <f t="shared" si="9"/>
        <v>0</v>
      </c>
      <c r="AL23" s="14">
        <f t="shared" si="10"/>
        <v>0</v>
      </c>
      <c r="AM23" s="13" t="e">
        <f t="shared" si="11"/>
        <v>#DIV/0!</v>
      </c>
      <c r="AO23" s="16"/>
      <c r="AP23" s="15" t="s">
        <v>6</v>
      </c>
      <c r="AQ23" s="12">
        <v>0</v>
      </c>
      <c r="AR23" s="14">
        <v>0</v>
      </c>
      <c r="AS23" s="12">
        <f t="shared" si="12"/>
        <v>0</v>
      </c>
      <c r="AT23" s="14">
        <f t="shared" si="13"/>
        <v>0</v>
      </c>
      <c r="AU23" s="13" t="e">
        <f t="shared" si="14"/>
        <v>#DIV/0!</v>
      </c>
      <c r="AW23" s="16"/>
      <c r="AX23" s="15" t="s">
        <v>6</v>
      </c>
      <c r="AY23" s="12">
        <v>3</v>
      </c>
      <c r="AZ23" s="14">
        <v>8571.4285714199996</v>
      </c>
      <c r="BA23" s="12">
        <f t="shared" si="15"/>
        <v>3</v>
      </c>
      <c r="BB23" s="14">
        <f t="shared" si="16"/>
        <v>8571.4285714199996</v>
      </c>
      <c r="BC23" s="13" t="e">
        <f t="shared" si="17"/>
        <v>#DIV/0!</v>
      </c>
      <c r="BE23" s="16"/>
      <c r="BF23" s="15" t="s">
        <v>6</v>
      </c>
      <c r="BG23" s="12">
        <v>1</v>
      </c>
      <c r="BH23" s="14">
        <v>2857.1428571400002</v>
      </c>
      <c r="BI23" s="12">
        <f t="shared" si="18"/>
        <v>-2</v>
      </c>
      <c r="BJ23" s="14">
        <f t="shared" si="19"/>
        <v>-5714.2857142799994</v>
      </c>
      <c r="BK23" s="13">
        <f t="shared" si="20"/>
        <v>-0.66666666666666663</v>
      </c>
      <c r="BL23" s="17"/>
      <c r="BM23" s="16"/>
      <c r="BN23" s="15" t="s">
        <v>6</v>
      </c>
      <c r="BO23" s="12">
        <v>2</v>
      </c>
      <c r="BP23" s="14">
        <v>5714.2857142800003</v>
      </c>
      <c r="BQ23" s="12">
        <f t="shared" si="21"/>
        <v>1</v>
      </c>
      <c r="BR23" s="14">
        <f t="shared" si="22"/>
        <v>2857.1428571400002</v>
      </c>
      <c r="BS23" s="13">
        <f t="shared" si="23"/>
        <v>1</v>
      </c>
      <c r="BU23" s="16"/>
      <c r="BV23" s="15" t="s">
        <v>6</v>
      </c>
      <c r="BW23" s="12">
        <v>1</v>
      </c>
      <c r="BX23" s="14">
        <v>2857.1428571400002</v>
      </c>
      <c r="BY23" s="12">
        <f t="shared" si="24"/>
        <v>-1</v>
      </c>
      <c r="BZ23" s="14">
        <f t="shared" si="25"/>
        <v>-2857.1428571400002</v>
      </c>
      <c r="CA23" s="13">
        <f t="shared" si="26"/>
        <v>-0.5</v>
      </c>
      <c r="CC23" s="16"/>
      <c r="CD23" s="15" t="s">
        <v>6</v>
      </c>
      <c r="CE23" s="12">
        <v>1</v>
      </c>
      <c r="CF23" s="14">
        <v>2857.1428571400002</v>
      </c>
      <c r="CG23" s="12">
        <f t="shared" si="27"/>
        <v>0</v>
      </c>
      <c r="CH23" s="14">
        <f t="shared" si="28"/>
        <v>0</v>
      </c>
      <c r="CI23" s="13">
        <f t="shared" si="29"/>
        <v>0</v>
      </c>
      <c r="CK23" s="16"/>
      <c r="CL23" s="15" t="s">
        <v>6</v>
      </c>
      <c r="CM23" s="12">
        <v>5</v>
      </c>
      <c r="CN23" s="14">
        <v>20285.7142857</v>
      </c>
      <c r="CO23" s="12">
        <f t="shared" si="30"/>
        <v>4</v>
      </c>
      <c r="CP23" s="14">
        <f t="shared" si="31"/>
        <v>17428.571428560001</v>
      </c>
      <c r="CQ23" s="13">
        <f t="shared" si="32"/>
        <v>6.1000000000021002</v>
      </c>
      <c r="CS23" s="16"/>
      <c r="CT23" s="15" t="s">
        <v>6</v>
      </c>
      <c r="CU23" s="12">
        <v>1</v>
      </c>
      <c r="CV23" s="14">
        <v>2857.1428571400002</v>
      </c>
      <c r="CW23" s="12">
        <f t="shared" si="33"/>
        <v>-4</v>
      </c>
      <c r="CX23" s="14">
        <f t="shared" si="34"/>
        <v>-17428.571428560001</v>
      </c>
      <c r="CY23" s="13">
        <f t="shared" si="35"/>
        <v>-0.8591549295775065</v>
      </c>
    </row>
    <row r="24" spans="1:103" s="12" customFormat="1" ht="20" customHeight="1">
      <c r="A24" s="16"/>
      <c r="B24" s="15" t="s">
        <v>5</v>
      </c>
      <c r="C24" s="12">
        <v>7</v>
      </c>
      <c r="D24" s="14">
        <v>33930</v>
      </c>
      <c r="E24" s="12" t="e">
        <f>C24-#REF!</f>
        <v>#REF!</v>
      </c>
      <c r="F24" s="14" t="e">
        <f>D24-#REF!</f>
        <v>#REF!</v>
      </c>
      <c r="G24" s="13" t="e">
        <f>(D24-#REF!)/#REF!</f>
        <v>#REF!</v>
      </c>
      <c r="I24" s="16"/>
      <c r="J24" s="15" t="s">
        <v>5</v>
      </c>
      <c r="K24" s="12">
        <v>4</v>
      </c>
      <c r="L24" s="14">
        <v>22060</v>
      </c>
      <c r="M24" s="12">
        <f t="shared" si="42"/>
        <v>-3</v>
      </c>
      <c r="N24" s="14">
        <f t="shared" si="43"/>
        <v>-11870</v>
      </c>
      <c r="O24" s="13">
        <f t="shared" si="44"/>
        <v>-0.34983790156203948</v>
      </c>
      <c r="Q24" s="16"/>
      <c r="R24" s="15" t="s">
        <v>5</v>
      </c>
      <c r="S24" s="12">
        <v>1</v>
      </c>
      <c r="T24" s="14">
        <v>4890</v>
      </c>
      <c r="U24" s="12">
        <f t="shared" si="3"/>
        <v>-3</v>
      </c>
      <c r="V24" s="14">
        <f t="shared" si="4"/>
        <v>-17170</v>
      </c>
      <c r="W24" s="13">
        <f t="shared" si="5"/>
        <v>-0.77833182230281051</v>
      </c>
      <c r="Y24" s="16"/>
      <c r="Z24" s="15" t="s">
        <v>5</v>
      </c>
      <c r="AA24" s="12">
        <v>4</v>
      </c>
      <c r="AB24" s="14">
        <v>22860</v>
      </c>
      <c r="AC24" s="12">
        <f t="shared" si="6"/>
        <v>3</v>
      </c>
      <c r="AD24" s="14">
        <f t="shared" si="7"/>
        <v>17970</v>
      </c>
      <c r="AE24" s="13">
        <f t="shared" si="8"/>
        <v>3.6748466257668713</v>
      </c>
      <c r="AG24" s="16"/>
      <c r="AH24" s="15" t="s">
        <v>5</v>
      </c>
      <c r="AI24" s="12">
        <v>7</v>
      </c>
      <c r="AJ24" s="14">
        <v>36030</v>
      </c>
      <c r="AK24" s="12">
        <f t="shared" si="9"/>
        <v>3</v>
      </c>
      <c r="AL24" s="14">
        <f t="shared" si="10"/>
        <v>13170</v>
      </c>
      <c r="AM24" s="13">
        <f t="shared" si="11"/>
        <v>0.57611548556430447</v>
      </c>
      <c r="AO24" s="16"/>
      <c r="AP24" s="15" t="s">
        <v>5</v>
      </c>
      <c r="AQ24" s="12">
        <v>6</v>
      </c>
      <c r="AR24" s="14">
        <v>36040</v>
      </c>
      <c r="AS24" s="12">
        <f t="shared" si="12"/>
        <v>-1</v>
      </c>
      <c r="AT24" s="14">
        <f t="shared" si="13"/>
        <v>10</v>
      </c>
      <c r="AU24" s="13">
        <f t="shared" si="14"/>
        <v>2.7754648903691371E-4</v>
      </c>
      <c r="AW24" s="16"/>
      <c r="AX24" s="15" t="s">
        <v>5</v>
      </c>
      <c r="AY24" s="12">
        <v>2</v>
      </c>
      <c r="AZ24" s="14">
        <v>12080</v>
      </c>
      <c r="BA24" s="12">
        <f t="shared" si="15"/>
        <v>-4</v>
      </c>
      <c r="BB24" s="14">
        <f t="shared" si="16"/>
        <v>-23960</v>
      </c>
      <c r="BC24" s="13">
        <f t="shared" si="17"/>
        <v>-0.66481687014428414</v>
      </c>
      <c r="BE24" s="16"/>
      <c r="BF24" s="15" t="s">
        <v>5</v>
      </c>
      <c r="BG24" s="12">
        <v>4</v>
      </c>
      <c r="BH24" s="14">
        <v>25160</v>
      </c>
      <c r="BI24" s="12">
        <f t="shared" si="18"/>
        <v>2</v>
      </c>
      <c r="BJ24" s="14">
        <f t="shared" si="19"/>
        <v>13080</v>
      </c>
      <c r="BK24" s="13">
        <f t="shared" si="20"/>
        <v>1.0827814569536425</v>
      </c>
      <c r="BL24" s="17"/>
      <c r="BM24" s="16"/>
      <c r="BN24" s="15" t="s">
        <v>5</v>
      </c>
      <c r="BO24" s="12">
        <v>4</v>
      </c>
      <c r="BP24" s="14">
        <v>23160</v>
      </c>
      <c r="BQ24" s="12">
        <f t="shared" si="21"/>
        <v>0</v>
      </c>
      <c r="BR24" s="14">
        <f t="shared" si="22"/>
        <v>-2000</v>
      </c>
      <c r="BS24" s="13">
        <f t="shared" si="23"/>
        <v>-7.9491255961844198E-2</v>
      </c>
      <c r="BU24" s="16"/>
      <c r="BV24" s="15" t="s">
        <v>5</v>
      </c>
      <c r="BW24" s="12">
        <v>4</v>
      </c>
      <c r="BX24" s="14">
        <v>21160</v>
      </c>
      <c r="BY24" s="12">
        <f t="shared" si="24"/>
        <v>0</v>
      </c>
      <c r="BZ24" s="14">
        <f t="shared" si="25"/>
        <v>-2000</v>
      </c>
      <c r="CA24" s="13">
        <f t="shared" si="26"/>
        <v>-8.6355785837651119E-2</v>
      </c>
      <c r="CC24" s="16"/>
      <c r="CD24" s="15" t="s">
        <v>5</v>
      </c>
      <c r="CE24" s="12">
        <v>3</v>
      </c>
      <c r="CF24" s="14">
        <v>12170</v>
      </c>
      <c r="CG24" s="12">
        <f t="shared" si="27"/>
        <v>-1</v>
      </c>
      <c r="CH24" s="14">
        <f t="shared" si="28"/>
        <v>-8990</v>
      </c>
      <c r="CI24" s="13">
        <f t="shared" si="29"/>
        <v>-0.42485822306238186</v>
      </c>
      <c r="CK24" s="16"/>
      <c r="CL24" s="15" t="s">
        <v>5</v>
      </c>
      <c r="CM24" s="12">
        <v>8</v>
      </c>
      <c r="CN24" s="14">
        <v>36120</v>
      </c>
      <c r="CO24" s="12">
        <f t="shared" si="30"/>
        <v>5</v>
      </c>
      <c r="CP24" s="14">
        <f t="shared" si="31"/>
        <v>23950</v>
      </c>
      <c r="CQ24" s="13">
        <f t="shared" si="32"/>
        <v>1.9679539852095316</v>
      </c>
      <c r="CS24" s="16"/>
      <c r="CT24" s="15" t="s">
        <v>5</v>
      </c>
      <c r="CU24" s="12">
        <v>10</v>
      </c>
      <c r="CV24" s="14">
        <v>63900</v>
      </c>
      <c r="CW24" s="12">
        <f t="shared" si="33"/>
        <v>2</v>
      </c>
      <c r="CX24" s="14">
        <f t="shared" si="34"/>
        <v>27780</v>
      </c>
      <c r="CY24" s="13">
        <f t="shared" si="35"/>
        <v>0.76910299003322258</v>
      </c>
    </row>
    <row r="25" spans="1:103" s="12" customFormat="1" ht="20" customHeight="1">
      <c r="A25" s="16"/>
      <c r="B25" s="15" t="s">
        <v>4</v>
      </c>
      <c r="C25" s="12">
        <v>14</v>
      </c>
      <c r="D25" s="14">
        <v>503195.23809519003</v>
      </c>
      <c r="E25" s="12" t="e">
        <f>C25-#REF!</f>
        <v>#REF!</v>
      </c>
      <c r="F25" s="14" t="e">
        <f>D25-#REF!</f>
        <v>#REF!</v>
      </c>
      <c r="G25" s="13" t="e">
        <f>(D25-#REF!)/#REF!</f>
        <v>#REF!</v>
      </c>
      <c r="I25" s="16"/>
      <c r="J25" s="15" t="s">
        <v>4</v>
      </c>
      <c r="K25" s="12">
        <v>11</v>
      </c>
      <c r="L25" s="14">
        <v>405692.38095234998</v>
      </c>
      <c r="M25" s="12">
        <f t="shared" si="42"/>
        <v>-3</v>
      </c>
      <c r="N25" s="14">
        <f t="shared" si="43"/>
        <v>-97502.857142840046</v>
      </c>
      <c r="O25" s="13">
        <f t="shared" si="44"/>
        <v>-0.19376744802262083</v>
      </c>
      <c r="Q25" s="16"/>
      <c r="R25" s="15" t="s">
        <v>4</v>
      </c>
      <c r="S25" s="12">
        <v>9</v>
      </c>
      <c r="T25" s="14">
        <v>337238.09523807</v>
      </c>
      <c r="U25" s="12">
        <f t="shared" si="3"/>
        <v>-2</v>
      </c>
      <c r="V25" s="14">
        <f t="shared" si="4"/>
        <v>-68454.285714279977</v>
      </c>
      <c r="W25" s="13">
        <f t="shared" si="5"/>
        <v>-0.16873446218927188</v>
      </c>
      <c r="Y25" s="16"/>
      <c r="Z25" s="15" t="s">
        <v>4</v>
      </c>
      <c r="AA25" s="12">
        <v>6</v>
      </c>
      <c r="AB25" s="14">
        <v>244425.7142857</v>
      </c>
      <c r="AC25" s="12">
        <f t="shared" si="6"/>
        <v>-3</v>
      </c>
      <c r="AD25" s="14">
        <f t="shared" si="7"/>
        <v>-92812.380952370004</v>
      </c>
      <c r="AE25" s="13">
        <f t="shared" si="8"/>
        <v>-0.27521321660546683</v>
      </c>
      <c r="AG25" s="16"/>
      <c r="AH25" s="15" t="s">
        <v>4</v>
      </c>
      <c r="AI25" s="12">
        <v>9</v>
      </c>
      <c r="AJ25" s="14">
        <v>439419.99999996996</v>
      </c>
      <c r="AK25" s="12">
        <f t="shared" si="9"/>
        <v>3</v>
      </c>
      <c r="AL25" s="14">
        <f t="shared" si="10"/>
        <v>194994.28571426996</v>
      </c>
      <c r="AM25" s="13">
        <f t="shared" si="11"/>
        <v>0.79776502355373502</v>
      </c>
      <c r="AO25" s="16"/>
      <c r="AP25" s="15" t="s">
        <v>4</v>
      </c>
      <c r="AQ25" s="12">
        <v>9</v>
      </c>
      <c r="AR25" s="14">
        <v>321879.99999995995</v>
      </c>
      <c r="AS25" s="12">
        <f t="shared" si="12"/>
        <v>0</v>
      </c>
      <c r="AT25" s="14">
        <f t="shared" si="13"/>
        <v>-117540.00000001001</v>
      </c>
      <c r="AU25" s="13">
        <f t="shared" si="14"/>
        <v>-0.26748896272363126</v>
      </c>
      <c r="AW25" s="16"/>
      <c r="AX25" s="15" t="s">
        <v>4</v>
      </c>
      <c r="AY25" s="12">
        <v>7</v>
      </c>
      <c r="AZ25" s="14">
        <v>233673.33333332001</v>
      </c>
      <c r="BA25" s="12">
        <f t="shared" si="15"/>
        <v>-2</v>
      </c>
      <c r="BB25" s="14">
        <f t="shared" si="16"/>
        <v>-88206.66666663994</v>
      </c>
      <c r="BC25" s="13">
        <f t="shared" si="17"/>
        <v>-0.27403587258186562</v>
      </c>
      <c r="BE25" s="16"/>
      <c r="BF25" s="15" t="s">
        <v>4</v>
      </c>
      <c r="BG25" s="12">
        <v>11</v>
      </c>
      <c r="BH25" s="14">
        <v>410626.66666660999</v>
      </c>
      <c r="BI25" s="12">
        <f t="shared" si="18"/>
        <v>4</v>
      </c>
      <c r="BJ25" s="14">
        <f t="shared" si="19"/>
        <v>176953.33333328998</v>
      </c>
      <c r="BK25" s="13">
        <f t="shared" si="20"/>
        <v>0.7572679809419135</v>
      </c>
      <c r="BL25" s="17"/>
      <c r="BM25" s="16"/>
      <c r="BN25" s="15" t="s">
        <v>4</v>
      </c>
      <c r="BO25" s="12">
        <v>13</v>
      </c>
      <c r="BP25" s="14">
        <v>528691.42857137998</v>
      </c>
      <c r="BQ25" s="12">
        <f t="shared" si="21"/>
        <v>2</v>
      </c>
      <c r="BR25" s="14">
        <f t="shared" si="22"/>
        <v>118064.76190476998</v>
      </c>
      <c r="BS25" s="13">
        <f t="shared" si="23"/>
        <v>0.28752336730392475</v>
      </c>
      <c r="BU25" s="16"/>
      <c r="BV25" s="15" t="s">
        <v>4</v>
      </c>
      <c r="BW25" s="12">
        <v>6</v>
      </c>
      <c r="BX25" s="14">
        <v>214308.57142853999</v>
      </c>
      <c r="BY25" s="12">
        <f t="shared" si="24"/>
        <v>-7</v>
      </c>
      <c r="BZ25" s="14">
        <f t="shared" si="25"/>
        <v>-314382.85714283999</v>
      </c>
      <c r="CA25" s="13">
        <f t="shared" si="26"/>
        <v>-0.59464337826009295</v>
      </c>
      <c r="CC25" s="16"/>
      <c r="CD25" s="15" t="s">
        <v>4</v>
      </c>
      <c r="CE25" s="12">
        <v>16</v>
      </c>
      <c r="CF25" s="14">
        <v>636571.42857137998</v>
      </c>
      <c r="CG25" s="12">
        <f t="shared" si="27"/>
        <v>10</v>
      </c>
      <c r="CH25" s="14">
        <f t="shared" si="28"/>
        <v>422262.85714283999</v>
      </c>
      <c r="CI25" s="13">
        <f t="shared" si="29"/>
        <v>1.970349829351745</v>
      </c>
      <c r="CK25" s="16"/>
      <c r="CL25" s="15" t="s">
        <v>4</v>
      </c>
      <c r="CM25" s="12">
        <v>17</v>
      </c>
      <c r="CN25" s="14">
        <v>706711.42857136985</v>
      </c>
      <c r="CO25" s="12">
        <f t="shared" si="30"/>
        <v>1</v>
      </c>
      <c r="CP25" s="14">
        <f t="shared" si="31"/>
        <v>70139.999999989872</v>
      </c>
      <c r="CQ25" s="13">
        <f t="shared" si="32"/>
        <v>0.11018402154397813</v>
      </c>
      <c r="CS25" s="16"/>
      <c r="CT25" s="15" t="s">
        <v>4</v>
      </c>
      <c r="CU25" s="12">
        <v>10</v>
      </c>
      <c r="CV25" s="14">
        <v>368571.4285714</v>
      </c>
      <c r="CW25" s="12">
        <f t="shared" si="33"/>
        <v>-7</v>
      </c>
      <c r="CX25" s="14">
        <f t="shared" si="34"/>
        <v>-338139.99999996985</v>
      </c>
      <c r="CY25" s="13">
        <f t="shared" si="35"/>
        <v>-0.47846969262054539</v>
      </c>
    </row>
    <row r="26" spans="1:103" s="12" customFormat="1" ht="20" customHeight="1">
      <c r="A26" s="16"/>
      <c r="B26" s="15" t="s">
        <v>3</v>
      </c>
      <c r="C26" s="12">
        <v>42</v>
      </c>
      <c r="D26" s="14">
        <v>820095.23809513007</v>
      </c>
      <c r="E26" s="12" t="e">
        <f>C26-#REF!</f>
        <v>#REF!</v>
      </c>
      <c r="F26" s="14" t="e">
        <f>D26-#REF!</f>
        <v>#REF!</v>
      </c>
      <c r="G26" s="13" t="e">
        <f>(D26-#REF!)/#REF!</f>
        <v>#REF!</v>
      </c>
      <c r="I26" s="16"/>
      <c r="J26" s="15" t="s">
        <v>3</v>
      </c>
      <c r="K26" s="12">
        <v>38</v>
      </c>
      <c r="L26" s="14">
        <v>680085.71428563003</v>
      </c>
      <c r="M26" s="12">
        <f t="shared" si="42"/>
        <v>-4</v>
      </c>
      <c r="N26" s="14">
        <f t="shared" si="43"/>
        <v>-140009.52380950004</v>
      </c>
      <c r="O26" s="13">
        <f t="shared" si="44"/>
        <v>-0.17072349320635746</v>
      </c>
      <c r="Q26" s="16"/>
      <c r="R26" s="15" t="s">
        <v>3</v>
      </c>
      <c r="S26" s="12">
        <v>43</v>
      </c>
      <c r="T26" s="14">
        <v>738352.38095228013</v>
      </c>
      <c r="U26" s="12">
        <f t="shared" si="3"/>
        <v>5</v>
      </c>
      <c r="V26" s="14">
        <f t="shared" si="4"/>
        <v>58266.666666650097</v>
      </c>
      <c r="W26" s="13">
        <f t="shared" si="5"/>
        <v>8.5675475080158214E-2</v>
      </c>
      <c r="Y26" s="16"/>
      <c r="Z26" s="15" t="s">
        <v>3</v>
      </c>
      <c r="AA26" s="12">
        <v>35</v>
      </c>
      <c r="AB26" s="14">
        <v>603514.28571421001</v>
      </c>
      <c r="AC26" s="12">
        <f t="shared" si="6"/>
        <v>-8</v>
      </c>
      <c r="AD26" s="14">
        <f t="shared" si="7"/>
        <v>-134838.09523807012</v>
      </c>
      <c r="AE26" s="13">
        <f t="shared" si="8"/>
        <v>-0.18262024842957028</v>
      </c>
      <c r="AG26" s="16"/>
      <c r="AH26" s="15" t="s">
        <v>3</v>
      </c>
      <c r="AI26" s="12">
        <v>32</v>
      </c>
      <c r="AJ26" s="14">
        <v>615142.85714277008</v>
      </c>
      <c r="AK26" s="12">
        <f t="shared" si="9"/>
        <v>-3</v>
      </c>
      <c r="AL26" s="14">
        <f t="shared" si="10"/>
        <v>11628.57142856007</v>
      </c>
      <c r="AM26" s="13">
        <f t="shared" si="11"/>
        <v>1.9268096387807295E-2</v>
      </c>
      <c r="AO26" s="16"/>
      <c r="AP26" s="15" t="s">
        <v>3</v>
      </c>
      <c r="AQ26" s="12">
        <v>33</v>
      </c>
      <c r="AR26" s="14">
        <v>632847.61904755002</v>
      </c>
      <c r="AS26" s="12">
        <f t="shared" si="12"/>
        <v>1</v>
      </c>
      <c r="AT26" s="14">
        <f t="shared" si="13"/>
        <v>17704.761904779938</v>
      </c>
      <c r="AU26" s="13">
        <f t="shared" si="14"/>
        <v>2.8781545130858593E-2</v>
      </c>
      <c r="AW26" s="16"/>
      <c r="AX26" s="15" t="s">
        <v>3</v>
      </c>
      <c r="AY26" s="12">
        <v>28</v>
      </c>
      <c r="AZ26" s="14">
        <v>515238.09523805004</v>
      </c>
      <c r="BA26" s="12">
        <f t="shared" si="15"/>
        <v>-5</v>
      </c>
      <c r="BB26" s="14">
        <f t="shared" si="16"/>
        <v>-117609.52380949998</v>
      </c>
      <c r="BC26" s="13">
        <f t="shared" si="17"/>
        <v>-0.18584177339010136</v>
      </c>
      <c r="BE26" s="16"/>
      <c r="BF26" s="15" t="s">
        <v>3</v>
      </c>
      <c r="BG26" s="12">
        <v>33</v>
      </c>
      <c r="BH26" s="14">
        <v>692457.14285708999</v>
      </c>
      <c r="BI26" s="12">
        <f t="shared" si="18"/>
        <v>5</v>
      </c>
      <c r="BJ26" s="14">
        <f t="shared" si="19"/>
        <v>177219.04761903995</v>
      </c>
      <c r="BK26" s="13">
        <f t="shared" si="20"/>
        <v>0.34395563770796356</v>
      </c>
      <c r="BL26" s="17"/>
      <c r="BM26" s="16"/>
      <c r="BN26" s="15" t="s">
        <v>3</v>
      </c>
      <c r="BO26" s="12">
        <v>38</v>
      </c>
      <c r="BP26" s="14">
        <v>694647.61904754012</v>
      </c>
      <c r="BQ26" s="12">
        <f t="shared" si="21"/>
        <v>5</v>
      </c>
      <c r="BR26" s="14">
        <f t="shared" si="22"/>
        <v>2190.4761904501356</v>
      </c>
      <c r="BS26" s="13">
        <f t="shared" si="23"/>
        <v>3.1633382846080458E-3</v>
      </c>
      <c r="BU26" s="16"/>
      <c r="BV26" s="15" t="s">
        <v>3</v>
      </c>
      <c r="BW26" s="12">
        <v>27</v>
      </c>
      <c r="BX26" s="14">
        <v>490952.38095231995</v>
      </c>
      <c r="BY26" s="12">
        <f t="shared" si="24"/>
        <v>-11</v>
      </c>
      <c r="BZ26" s="14">
        <f t="shared" si="25"/>
        <v>-203695.23809522018</v>
      </c>
      <c r="CA26" s="13">
        <f t="shared" si="26"/>
        <v>-0.29323535057172595</v>
      </c>
      <c r="CC26" s="16"/>
      <c r="CD26" s="15" t="s">
        <v>3</v>
      </c>
      <c r="CE26" s="12">
        <v>72</v>
      </c>
      <c r="CF26" s="14">
        <v>1346647.61904751</v>
      </c>
      <c r="CG26" s="12">
        <f t="shared" si="27"/>
        <v>45</v>
      </c>
      <c r="CH26" s="14">
        <f t="shared" si="28"/>
        <v>855695.23809519003</v>
      </c>
      <c r="CI26" s="13">
        <f t="shared" si="29"/>
        <v>1.7429291949564718</v>
      </c>
      <c r="CK26" s="16"/>
      <c r="CL26" s="15" t="s">
        <v>3</v>
      </c>
      <c r="CM26" s="12">
        <v>44</v>
      </c>
      <c r="CN26" s="14">
        <v>787323.80952371005</v>
      </c>
      <c r="CO26" s="12">
        <f t="shared" si="30"/>
        <v>-28</v>
      </c>
      <c r="CP26" s="14">
        <f t="shared" si="31"/>
        <v>-559323.80952379992</v>
      </c>
      <c r="CQ26" s="13">
        <f t="shared" si="32"/>
        <v>-0.4153453372749526</v>
      </c>
      <c r="CS26" s="16"/>
      <c r="CT26" s="15" t="s">
        <v>3</v>
      </c>
      <c r="CU26" s="12">
        <v>64</v>
      </c>
      <c r="CV26" s="14">
        <v>1213428.5714284703</v>
      </c>
      <c r="CW26" s="12">
        <f t="shared" si="33"/>
        <v>20</v>
      </c>
      <c r="CX26" s="14">
        <f t="shared" si="34"/>
        <v>426104.76190476026</v>
      </c>
      <c r="CY26" s="13">
        <f t="shared" si="35"/>
        <v>0.541206498203746</v>
      </c>
    </row>
    <row r="27" spans="1:103" s="12" customFormat="1" ht="20" customHeight="1">
      <c r="A27" s="16"/>
      <c r="B27" s="15" t="s">
        <v>2</v>
      </c>
      <c r="C27" s="12">
        <v>36</v>
      </c>
      <c r="D27" s="14">
        <v>1210609.52380946</v>
      </c>
      <c r="E27" s="12" t="e">
        <f>C27-#REF!</f>
        <v>#REF!</v>
      </c>
      <c r="F27" s="14" t="e">
        <f>D27-#REF!</f>
        <v>#REF!</v>
      </c>
      <c r="G27" s="13" t="e">
        <f>(D27-#REF!)/#REF!</f>
        <v>#REF!</v>
      </c>
      <c r="I27" s="16"/>
      <c r="J27" s="15" t="s">
        <v>2</v>
      </c>
      <c r="K27" s="12">
        <v>34</v>
      </c>
      <c r="L27" s="14">
        <v>1227999.9999999299</v>
      </c>
      <c r="M27" s="12">
        <f t="shared" si="42"/>
        <v>-2</v>
      </c>
      <c r="N27" s="14">
        <f t="shared" si="43"/>
        <v>17390.476190469926</v>
      </c>
      <c r="O27" s="13">
        <f t="shared" si="44"/>
        <v>1.436505813678618E-2</v>
      </c>
      <c r="Q27" s="16"/>
      <c r="R27" s="15" t="s">
        <v>2</v>
      </c>
      <c r="S27" s="12">
        <v>38</v>
      </c>
      <c r="T27" s="14">
        <v>1325238.0952380102</v>
      </c>
      <c r="U27" s="12">
        <f t="shared" si="3"/>
        <v>4</v>
      </c>
      <c r="V27" s="14">
        <f t="shared" si="4"/>
        <v>97238.095238080248</v>
      </c>
      <c r="W27" s="13">
        <f t="shared" si="5"/>
        <v>7.9184116643392338E-2</v>
      </c>
      <c r="Y27" s="16"/>
      <c r="Z27" s="15" t="s">
        <v>2</v>
      </c>
      <c r="AA27" s="12">
        <v>31</v>
      </c>
      <c r="AB27" s="14">
        <v>1086380.9523809</v>
      </c>
      <c r="AC27" s="12">
        <f t="shared" si="6"/>
        <v>-7</v>
      </c>
      <c r="AD27" s="14">
        <f t="shared" si="7"/>
        <v>-238857.14285711013</v>
      </c>
      <c r="AE27" s="13">
        <f t="shared" si="8"/>
        <v>-0.18023715415018451</v>
      </c>
      <c r="AG27" s="16"/>
      <c r="AH27" s="15" t="s">
        <v>2</v>
      </c>
      <c r="AI27" s="12">
        <v>20</v>
      </c>
      <c r="AJ27" s="14">
        <v>648380.95238091995</v>
      </c>
      <c r="AK27" s="12">
        <f t="shared" si="9"/>
        <v>-11</v>
      </c>
      <c r="AL27" s="14">
        <f t="shared" si="10"/>
        <v>-437999.99999998009</v>
      </c>
      <c r="AM27" s="13">
        <f t="shared" si="11"/>
        <v>-0.40317348996230495</v>
      </c>
      <c r="AO27" s="16"/>
      <c r="AP27" s="15" t="s">
        <v>2</v>
      </c>
      <c r="AQ27" s="12">
        <v>26</v>
      </c>
      <c r="AR27" s="14">
        <v>796145.71428565006</v>
      </c>
      <c r="AS27" s="12">
        <f t="shared" si="12"/>
        <v>6</v>
      </c>
      <c r="AT27" s="14">
        <f t="shared" si="13"/>
        <v>147764.76190473011</v>
      </c>
      <c r="AU27" s="13">
        <f t="shared" si="14"/>
        <v>0.22789806110454522</v>
      </c>
      <c r="AW27" s="16"/>
      <c r="AX27" s="15" t="s">
        <v>2</v>
      </c>
      <c r="AY27" s="12">
        <v>17</v>
      </c>
      <c r="AZ27" s="14">
        <v>554380.95238088991</v>
      </c>
      <c r="BA27" s="12">
        <f t="shared" si="15"/>
        <v>-9</v>
      </c>
      <c r="BB27" s="14">
        <f t="shared" si="16"/>
        <v>-241764.76190476015</v>
      </c>
      <c r="BC27" s="13">
        <f t="shared" si="17"/>
        <v>-0.30366898617508237</v>
      </c>
      <c r="BE27" s="16"/>
      <c r="BF27" s="15" t="s">
        <v>2</v>
      </c>
      <c r="BG27" s="12">
        <v>15</v>
      </c>
      <c r="BH27" s="14">
        <v>490476.19047615997</v>
      </c>
      <c r="BI27" s="12">
        <f t="shared" si="18"/>
        <v>-2</v>
      </c>
      <c r="BJ27" s="14">
        <f t="shared" si="19"/>
        <v>-63904.761904729938</v>
      </c>
      <c r="BK27" s="13">
        <f t="shared" si="20"/>
        <v>-0.11527228998449407</v>
      </c>
      <c r="BL27" s="17"/>
      <c r="BM27" s="16"/>
      <c r="BN27" s="15" t="s">
        <v>2</v>
      </c>
      <c r="BO27" s="12">
        <v>11</v>
      </c>
      <c r="BP27" s="14">
        <v>370079.99999996001</v>
      </c>
      <c r="BQ27" s="12">
        <f t="shared" si="21"/>
        <v>-4</v>
      </c>
      <c r="BR27" s="14">
        <f t="shared" si="22"/>
        <v>-120396.19047619996</v>
      </c>
      <c r="BS27" s="13">
        <f t="shared" si="23"/>
        <v>-0.24546796116508315</v>
      </c>
      <c r="BU27" s="16"/>
      <c r="BV27" s="15" t="s">
        <v>2</v>
      </c>
      <c r="BW27" s="12">
        <v>11</v>
      </c>
      <c r="BX27" s="14">
        <v>394569.52380948002</v>
      </c>
      <c r="BY27" s="12">
        <f t="shared" si="24"/>
        <v>0</v>
      </c>
      <c r="BZ27" s="14">
        <f t="shared" si="25"/>
        <v>24489.523809520004</v>
      </c>
      <c r="CA27" s="13">
        <f t="shared" si="26"/>
        <v>6.6173594383707984E-2</v>
      </c>
      <c r="CC27" s="16"/>
      <c r="CD27" s="15" t="s">
        <v>2</v>
      </c>
      <c r="CE27" s="12">
        <v>30</v>
      </c>
      <c r="CF27" s="14">
        <v>928973.33333327994</v>
      </c>
      <c r="CG27" s="12">
        <f t="shared" si="27"/>
        <v>19</v>
      </c>
      <c r="CH27" s="14">
        <f t="shared" si="28"/>
        <v>534403.80952379992</v>
      </c>
      <c r="CI27" s="13">
        <f t="shared" si="29"/>
        <v>1.3543970765006159</v>
      </c>
      <c r="CK27" s="16"/>
      <c r="CL27" s="15" t="s">
        <v>2</v>
      </c>
      <c r="CM27" s="12">
        <v>243</v>
      </c>
      <c r="CN27" s="14">
        <v>8894642.8571426701</v>
      </c>
      <c r="CO27" s="12">
        <f t="shared" si="30"/>
        <v>213</v>
      </c>
      <c r="CP27" s="14">
        <f t="shared" si="31"/>
        <v>7965669.5238093901</v>
      </c>
      <c r="CQ27" s="13">
        <f t="shared" si="32"/>
        <v>8.5747020264053297</v>
      </c>
      <c r="CS27" s="16"/>
      <c r="CT27" s="15" t="s">
        <v>2</v>
      </c>
      <c r="CU27" s="12">
        <v>250</v>
      </c>
      <c r="CV27" s="14">
        <v>10010476.190476071</v>
      </c>
      <c r="CW27" s="12">
        <f t="shared" si="33"/>
        <v>7</v>
      </c>
      <c r="CX27" s="14">
        <f t="shared" si="34"/>
        <v>1115833.333333401</v>
      </c>
      <c r="CY27" s="13">
        <f t="shared" si="35"/>
        <v>0.12545004349863836</v>
      </c>
    </row>
    <row r="28" spans="1:103" s="2" customFormat="1" ht="20" customHeight="1">
      <c r="A28" s="11" t="s">
        <v>13</v>
      </c>
      <c r="B28" s="11"/>
      <c r="C28" s="10">
        <v>517</v>
      </c>
      <c r="D28" s="9">
        <v>3634286.1904752096</v>
      </c>
      <c r="E28" s="10" t="e">
        <f>C28-#REF!</f>
        <v>#REF!</v>
      </c>
      <c r="F28" s="9" t="e">
        <f>D28-#REF!</f>
        <v>#REF!</v>
      </c>
      <c r="G28" s="8" t="e">
        <f>(D28-#REF!)/#REF!</f>
        <v>#REF!</v>
      </c>
      <c r="I28" s="11" t="s">
        <v>13</v>
      </c>
      <c r="J28" s="11"/>
      <c r="K28" s="10">
        <v>555</v>
      </c>
      <c r="L28" s="9">
        <v>3369325.7142846799</v>
      </c>
      <c r="M28" s="10">
        <f t="shared" si="42"/>
        <v>38</v>
      </c>
      <c r="N28" s="9">
        <f t="shared" si="43"/>
        <v>-264960.47619052976</v>
      </c>
      <c r="O28" s="8">
        <f t="shared" si="44"/>
        <v>-7.2905781852002208E-2</v>
      </c>
      <c r="Q28" s="11" t="s">
        <v>13</v>
      </c>
      <c r="R28" s="11"/>
      <c r="S28" s="10">
        <v>546</v>
      </c>
      <c r="T28" s="9">
        <v>3649867.1428561099</v>
      </c>
      <c r="U28" s="10">
        <f t="shared" si="3"/>
        <v>-9</v>
      </c>
      <c r="V28" s="9">
        <f t="shared" si="4"/>
        <v>280541.42857143003</v>
      </c>
      <c r="W28" s="8">
        <f t="shared" si="5"/>
        <v>8.3263374443746832E-2</v>
      </c>
      <c r="Y28" s="11" t="s">
        <v>13</v>
      </c>
      <c r="Z28" s="11"/>
      <c r="AA28" s="10">
        <v>488</v>
      </c>
      <c r="AB28" s="9">
        <v>2883939.04761816</v>
      </c>
      <c r="AC28" s="10">
        <f t="shared" si="6"/>
        <v>-58</v>
      </c>
      <c r="AD28" s="9">
        <f t="shared" si="7"/>
        <v>-765928.09523794986</v>
      </c>
      <c r="AE28" s="8">
        <f t="shared" si="8"/>
        <v>-0.20985095217427352</v>
      </c>
      <c r="AG28" s="11" t="s">
        <v>13</v>
      </c>
      <c r="AH28" s="11"/>
      <c r="AI28" s="10">
        <v>443</v>
      </c>
      <c r="AJ28" s="9">
        <v>2523592.8571420601</v>
      </c>
      <c r="AK28" s="10">
        <f t="shared" si="9"/>
        <v>-45</v>
      </c>
      <c r="AL28" s="9">
        <f t="shared" si="10"/>
        <v>-360346.19047609996</v>
      </c>
      <c r="AM28" s="8">
        <f t="shared" si="11"/>
        <v>-0.12494930874968013</v>
      </c>
      <c r="AO28" s="11" t="s">
        <v>13</v>
      </c>
      <c r="AP28" s="11"/>
      <c r="AQ28" s="10">
        <v>477</v>
      </c>
      <c r="AR28" s="9">
        <v>2620944.7619038201</v>
      </c>
      <c r="AS28" s="10">
        <f t="shared" si="12"/>
        <v>34</v>
      </c>
      <c r="AT28" s="9">
        <f t="shared" si="13"/>
        <v>97351.90476176003</v>
      </c>
      <c r="AU28" s="8">
        <f t="shared" si="14"/>
        <v>3.8576708000358638E-2</v>
      </c>
      <c r="AW28" s="11" t="s">
        <v>13</v>
      </c>
      <c r="AX28" s="11"/>
      <c r="AY28" s="10">
        <v>436</v>
      </c>
      <c r="AZ28" s="9">
        <v>2043348.5714277402</v>
      </c>
      <c r="BA28" s="10">
        <f t="shared" si="15"/>
        <v>-41</v>
      </c>
      <c r="BB28" s="9">
        <f t="shared" si="16"/>
        <v>-577596.19047607994</v>
      </c>
      <c r="BC28" s="8">
        <f t="shared" si="17"/>
        <v>-0.22037709411949666</v>
      </c>
      <c r="BE28" s="11" t="s">
        <v>13</v>
      </c>
      <c r="BF28" s="11"/>
      <c r="BG28" s="10">
        <v>448</v>
      </c>
      <c r="BH28" s="9">
        <v>2330037.1428563702</v>
      </c>
      <c r="BI28" s="10">
        <f t="shared" si="18"/>
        <v>12</v>
      </c>
      <c r="BJ28" s="9">
        <f t="shared" si="19"/>
        <v>286688.57142863004</v>
      </c>
      <c r="BK28" s="8">
        <f t="shared" si="20"/>
        <v>0.14030331165098933</v>
      </c>
      <c r="BL28" s="7"/>
      <c r="BM28" s="11" t="s">
        <v>13</v>
      </c>
      <c r="BN28" s="11"/>
      <c r="BO28" s="10">
        <v>470</v>
      </c>
      <c r="BP28" s="9">
        <v>2279453.3333325102</v>
      </c>
      <c r="BQ28" s="10">
        <f t="shared" si="21"/>
        <v>22</v>
      </c>
      <c r="BR28" s="9">
        <f t="shared" si="22"/>
        <v>-50583.809523859993</v>
      </c>
      <c r="BS28" s="8">
        <f t="shared" si="23"/>
        <v>-2.1709443421940384E-2</v>
      </c>
      <c r="BU28" s="11" t="s">
        <v>13</v>
      </c>
      <c r="BV28" s="11"/>
      <c r="BW28" s="10">
        <v>367</v>
      </c>
      <c r="BX28" s="9">
        <v>1620664.76190414</v>
      </c>
      <c r="BY28" s="10">
        <f t="shared" si="24"/>
        <v>-103</v>
      </c>
      <c r="BZ28" s="9">
        <f t="shared" si="25"/>
        <v>-658788.5714283702</v>
      </c>
      <c r="CA28" s="8">
        <f t="shared" si="26"/>
        <v>-0.28901165108093524</v>
      </c>
      <c r="CC28" s="11" t="s">
        <v>13</v>
      </c>
      <c r="CD28" s="11"/>
      <c r="CE28" s="10">
        <v>538</v>
      </c>
      <c r="CF28" s="9">
        <v>3712229.99999899</v>
      </c>
      <c r="CG28" s="10">
        <f t="shared" si="27"/>
        <v>171</v>
      </c>
      <c r="CH28" s="9">
        <f t="shared" si="28"/>
        <v>2091565.23809485</v>
      </c>
      <c r="CI28" s="8">
        <f t="shared" si="29"/>
        <v>1.290560075877409</v>
      </c>
      <c r="CK28" s="11" t="s">
        <v>13</v>
      </c>
      <c r="CL28" s="11"/>
      <c r="CM28" s="10">
        <v>904</v>
      </c>
      <c r="CN28" s="9">
        <v>12084863.809522331</v>
      </c>
      <c r="CO28" s="10">
        <f t="shared" si="30"/>
        <v>366</v>
      </c>
      <c r="CP28" s="9">
        <f t="shared" si="31"/>
        <v>8372633.8095233403</v>
      </c>
      <c r="CQ28" s="8">
        <f t="shared" si="32"/>
        <v>2.2554189286562574</v>
      </c>
      <c r="CS28" s="11" t="s">
        <v>13</v>
      </c>
      <c r="CT28" s="11"/>
      <c r="CU28" s="10">
        <v>1166</v>
      </c>
      <c r="CV28" s="9">
        <v>14052148.571426852</v>
      </c>
      <c r="CW28" s="10">
        <f t="shared" si="33"/>
        <v>262</v>
      </c>
      <c r="CX28" s="9">
        <f t="shared" si="34"/>
        <v>1967284.7619045209</v>
      </c>
      <c r="CY28" s="8">
        <f t="shared" si="35"/>
        <v>0.16278915450866635</v>
      </c>
    </row>
    <row r="29" spans="1:103" s="2" customFormat="1" ht="20" customHeight="1">
      <c r="A29" s="37">
        <v>77</v>
      </c>
      <c r="B29" s="31" t="s">
        <v>32</v>
      </c>
      <c r="C29" s="2">
        <v>1461</v>
      </c>
      <c r="D29" s="34"/>
      <c r="F29" s="34"/>
      <c r="G29" s="7"/>
      <c r="I29" s="37">
        <v>77</v>
      </c>
      <c r="J29" s="31" t="s">
        <v>32</v>
      </c>
      <c r="K29" s="2">
        <v>1539</v>
      </c>
      <c r="L29" s="34"/>
      <c r="M29" s="12">
        <f t="shared" si="42"/>
        <v>78</v>
      </c>
      <c r="N29" s="14">
        <f t="shared" si="43"/>
        <v>0</v>
      </c>
      <c r="O29" s="13" t="e">
        <f t="shared" si="44"/>
        <v>#DIV/0!</v>
      </c>
      <c r="Q29" s="37">
        <v>77</v>
      </c>
      <c r="R29" s="31" t="s">
        <v>32</v>
      </c>
      <c r="S29" s="2">
        <v>1425</v>
      </c>
      <c r="T29" s="34"/>
      <c r="U29" s="12">
        <f t="shared" si="3"/>
        <v>-114</v>
      </c>
      <c r="V29" s="14">
        <f t="shared" si="4"/>
        <v>0</v>
      </c>
      <c r="W29" s="13" t="e">
        <f t="shared" si="5"/>
        <v>#DIV/0!</v>
      </c>
      <c r="Y29" s="37">
        <v>77</v>
      </c>
      <c r="Z29" s="31" t="s">
        <v>32</v>
      </c>
      <c r="AA29" s="2">
        <v>1470</v>
      </c>
      <c r="AB29" s="34"/>
      <c r="AC29" s="12">
        <f t="shared" si="6"/>
        <v>45</v>
      </c>
      <c r="AD29" s="14">
        <f t="shared" si="7"/>
        <v>0</v>
      </c>
      <c r="AE29" s="13" t="e">
        <f t="shared" si="8"/>
        <v>#DIV/0!</v>
      </c>
      <c r="AG29" s="37">
        <v>77</v>
      </c>
      <c r="AH29" s="31" t="s">
        <v>32</v>
      </c>
      <c r="AI29" s="2">
        <v>1181</v>
      </c>
      <c r="AJ29" s="34"/>
      <c r="AK29" s="12">
        <f t="shared" si="9"/>
        <v>-289</v>
      </c>
      <c r="AL29" s="14">
        <f t="shared" si="10"/>
        <v>0</v>
      </c>
      <c r="AM29" s="13" t="e">
        <f t="shared" si="11"/>
        <v>#DIV/0!</v>
      </c>
      <c r="AO29" s="37">
        <v>77</v>
      </c>
      <c r="AP29" s="31" t="s">
        <v>32</v>
      </c>
      <c r="AQ29" s="2">
        <v>1098</v>
      </c>
      <c r="AR29" s="34"/>
      <c r="AS29" s="12">
        <f t="shared" si="12"/>
        <v>-83</v>
      </c>
      <c r="AT29" s="14">
        <f t="shared" si="13"/>
        <v>0</v>
      </c>
      <c r="AU29" s="13" t="e">
        <f t="shared" si="14"/>
        <v>#DIV/0!</v>
      </c>
      <c r="AW29" s="37">
        <v>77</v>
      </c>
      <c r="AX29" s="31" t="s">
        <v>32</v>
      </c>
      <c r="AY29" s="2">
        <v>1490</v>
      </c>
      <c r="AZ29" s="34"/>
      <c r="BA29" s="12">
        <f t="shared" si="15"/>
        <v>392</v>
      </c>
      <c r="BB29" s="14">
        <f t="shared" si="16"/>
        <v>0</v>
      </c>
      <c r="BC29" s="13" t="e">
        <f t="shared" si="17"/>
        <v>#DIV/0!</v>
      </c>
      <c r="BE29" s="37">
        <v>77</v>
      </c>
      <c r="BF29" s="31" t="s">
        <v>32</v>
      </c>
      <c r="BG29" s="2">
        <v>1726</v>
      </c>
      <c r="BH29" s="34"/>
      <c r="BI29" s="12">
        <f t="shared" si="18"/>
        <v>236</v>
      </c>
      <c r="BJ29" s="14">
        <f t="shared" si="19"/>
        <v>0</v>
      </c>
      <c r="BK29" s="13" t="e">
        <f t="shared" si="20"/>
        <v>#DIV/0!</v>
      </c>
      <c r="BL29" s="7"/>
      <c r="BM29" s="37">
        <v>77</v>
      </c>
      <c r="BN29" s="31" t="s">
        <v>32</v>
      </c>
      <c r="BO29" s="2">
        <v>1800</v>
      </c>
      <c r="BP29" s="34"/>
      <c r="BQ29" s="12">
        <f t="shared" si="21"/>
        <v>74</v>
      </c>
      <c r="BR29" s="14">
        <f t="shared" si="22"/>
        <v>0</v>
      </c>
      <c r="BS29" s="13" t="e">
        <f t="shared" si="23"/>
        <v>#DIV/0!</v>
      </c>
      <c r="BU29" s="37">
        <v>77</v>
      </c>
      <c r="BV29" s="31" t="s">
        <v>32</v>
      </c>
      <c r="BW29" s="2">
        <v>1281</v>
      </c>
      <c r="BX29" s="34"/>
      <c r="BY29" s="12">
        <f t="shared" si="24"/>
        <v>-519</v>
      </c>
      <c r="BZ29" s="14">
        <f t="shared" si="25"/>
        <v>0</v>
      </c>
      <c r="CA29" s="13" t="e">
        <f t="shared" si="26"/>
        <v>#DIV/0!</v>
      </c>
      <c r="CC29" s="37">
        <v>77</v>
      </c>
      <c r="CD29" s="31" t="s">
        <v>32</v>
      </c>
      <c r="CE29" s="2">
        <v>1924</v>
      </c>
      <c r="CF29" s="34"/>
      <c r="CG29" s="12">
        <f t="shared" si="27"/>
        <v>643</v>
      </c>
      <c r="CH29" s="14">
        <f t="shared" si="28"/>
        <v>0</v>
      </c>
      <c r="CI29" s="13" t="e">
        <f t="shared" si="29"/>
        <v>#DIV/0!</v>
      </c>
      <c r="CK29" s="37">
        <v>77</v>
      </c>
      <c r="CL29" s="31" t="s">
        <v>32</v>
      </c>
      <c r="CM29" s="2">
        <v>8076</v>
      </c>
      <c r="CN29" s="34"/>
      <c r="CO29" s="12">
        <f t="shared" si="30"/>
        <v>6152</v>
      </c>
      <c r="CP29" s="14">
        <f t="shared" si="31"/>
        <v>0</v>
      </c>
      <c r="CQ29" s="13" t="e">
        <f t="shared" si="32"/>
        <v>#DIV/0!</v>
      </c>
      <c r="CS29" s="37">
        <v>77</v>
      </c>
      <c r="CT29" s="31" t="s">
        <v>32</v>
      </c>
      <c r="CU29" s="2">
        <v>11560</v>
      </c>
      <c r="CV29" s="34"/>
      <c r="CW29" s="12">
        <f t="shared" si="33"/>
        <v>3484</v>
      </c>
      <c r="CX29" s="14">
        <f t="shared" si="34"/>
        <v>0</v>
      </c>
      <c r="CY29" s="13" t="e">
        <f t="shared" si="35"/>
        <v>#DIV/0!</v>
      </c>
    </row>
    <row r="30" spans="1:103" s="2" customFormat="1" ht="20" customHeight="1">
      <c r="A30" s="37"/>
      <c r="B30" s="31" t="s">
        <v>33</v>
      </c>
      <c r="C30" s="2">
        <v>3</v>
      </c>
      <c r="D30" s="34"/>
      <c r="F30" s="34"/>
      <c r="G30" s="7"/>
      <c r="I30" s="37"/>
      <c r="J30" s="31" t="s">
        <v>33</v>
      </c>
      <c r="K30" s="2">
        <v>1</v>
      </c>
      <c r="L30" s="34"/>
      <c r="M30" s="12">
        <f t="shared" si="42"/>
        <v>-2</v>
      </c>
      <c r="N30" s="14">
        <f t="shared" si="43"/>
        <v>0</v>
      </c>
      <c r="O30" s="13" t="e">
        <f t="shared" si="44"/>
        <v>#DIV/0!</v>
      </c>
      <c r="Q30" s="37"/>
      <c r="R30" s="31" t="s">
        <v>33</v>
      </c>
      <c r="S30" s="2">
        <v>1</v>
      </c>
      <c r="T30" s="34"/>
      <c r="U30" s="12">
        <f t="shared" si="3"/>
        <v>0</v>
      </c>
      <c r="V30" s="14">
        <f t="shared" si="4"/>
        <v>0</v>
      </c>
      <c r="W30" s="13" t="e">
        <f t="shared" si="5"/>
        <v>#DIV/0!</v>
      </c>
      <c r="Y30" s="37"/>
      <c r="Z30" s="31" t="s">
        <v>33</v>
      </c>
      <c r="AA30" s="2">
        <v>2</v>
      </c>
      <c r="AB30" s="34"/>
      <c r="AC30" s="12">
        <f t="shared" si="6"/>
        <v>1</v>
      </c>
      <c r="AD30" s="14">
        <f t="shared" si="7"/>
        <v>0</v>
      </c>
      <c r="AE30" s="13" t="e">
        <f t="shared" si="8"/>
        <v>#DIV/0!</v>
      </c>
      <c r="AG30" s="37"/>
      <c r="AH30" s="31" t="s">
        <v>33</v>
      </c>
      <c r="AI30" s="2">
        <v>1</v>
      </c>
      <c r="AJ30" s="34"/>
      <c r="AK30" s="12">
        <f t="shared" si="9"/>
        <v>-1</v>
      </c>
      <c r="AL30" s="14">
        <f t="shared" si="10"/>
        <v>0</v>
      </c>
      <c r="AM30" s="13" t="e">
        <f t="shared" si="11"/>
        <v>#DIV/0!</v>
      </c>
      <c r="AO30" s="37"/>
      <c r="AP30" s="31" t="s">
        <v>33</v>
      </c>
      <c r="AQ30" s="2">
        <v>3</v>
      </c>
      <c r="AR30" s="34"/>
      <c r="AS30" s="12">
        <f t="shared" si="12"/>
        <v>2</v>
      </c>
      <c r="AT30" s="14">
        <f t="shared" si="13"/>
        <v>0</v>
      </c>
      <c r="AU30" s="13" t="e">
        <f t="shared" si="14"/>
        <v>#DIV/0!</v>
      </c>
      <c r="AW30" s="37"/>
      <c r="AX30" s="31" t="s">
        <v>33</v>
      </c>
      <c r="AY30" s="2">
        <v>1</v>
      </c>
      <c r="AZ30" s="34"/>
      <c r="BA30" s="12">
        <f t="shared" si="15"/>
        <v>-2</v>
      </c>
      <c r="BB30" s="14">
        <f t="shared" si="16"/>
        <v>0</v>
      </c>
      <c r="BC30" s="13" t="e">
        <f t="shared" si="17"/>
        <v>#DIV/0!</v>
      </c>
      <c r="BE30" s="37"/>
      <c r="BF30" s="31" t="s">
        <v>33</v>
      </c>
      <c r="BG30" s="2">
        <v>0</v>
      </c>
      <c r="BH30" s="34"/>
      <c r="BI30" s="12">
        <f t="shared" si="18"/>
        <v>-1</v>
      </c>
      <c r="BJ30" s="14">
        <f t="shared" si="19"/>
        <v>0</v>
      </c>
      <c r="BK30" s="13" t="e">
        <f t="shared" si="20"/>
        <v>#DIV/0!</v>
      </c>
      <c r="BL30" s="7"/>
      <c r="BM30" s="37"/>
      <c r="BN30" s="31" t="s">
        <v>33</v>
      </c>
      <c r="BO30" s="2">
        <v>1</v>
      </c>
      <c r="BP30" s="34"/>
      <c r="BQ30" s="12">
        <f t="shared" si="21"/>
        <v>1</v>
      </c>
      <c r="BR30" s="14">
        <f t="shared" si="22"/>
        <v>0</v>
      </c>
      <c r="BS30" s="13" t="e">
        <f t="shared" si="23"/>
        <v>#DIV/0!</v>
      </c>
      <c r="BU30" s="37"/>
      <c r="BV30" s="31" t="s">
        <v>33</v>
      </c>
      <c r="BX30" s="34"/>
      <c r="BY30" s="12">
        <f t="shared" si="24"/>
        <v>-1</v>
      </c>
      <c r="BZ30" s="14">
        <f t="shared" si="25"/>
        <v>0</v>
      </c>
      <c r="CA30" s="13" t="e">
        <f t="shared" si="26"/>
        <v>#DIV/0!</v>
      </c>
      <c r="CC30" s="37"/>
      <c r="CD30" s="31" t="s">
        <v>33</v>
      </c>
      <c r="CE30" s="2">
        <v>1</v>
      </c>
      <c r="CF30" s="34"/>
      <c r="CG30" s="12">
        <f t="shared" si="27"/>
        <v>1</v>
      </c>
      <c r="CH30" s="14">
        <f t="shared" si="28"/>
        <v>0</v>
      </c>
      <c r="CI30" s="13" t="e">
        <f t="shared" si="29"/>
        <v>#DIV/0!</v>
      </c>
      <c r="CK30" s="37"/>
      <c r="CL30" s="31" t="s">
        <v>33</v>
      </c>
      <c r="CM30" s="2">
        <v>18</v>
      </c>
      <c r="CN30" s="34"/>
      <c r="CO30" s="12">
        <f t="shared" si="30"/>
        <v>17</v>
      </c>
      <c r="CP30" s="14">
        <f t="shared" si="31"/>
        <v>0</v>
      </c>
      <c r="CQ30" s="13" t="e">
        <f t="shared" si="32"/>
        <v>#DIV/0!</v>
      </c>
      <c r="CS30" s="37"/>
      <c r="CT30" s="31" t="s">
        <v>33</v>
      </c>
      <c r="CU30" s="2">
        <v>26</v>
      </c>
      <c r="CV30" s="34"/>
      <c r="CW30" s="12">
        <f t="shared" si="33"/>
        <v>8</v>
      </c>
      <c r="CX30" s="14">
        <f t="shared" si="34"/>
        <v>0</v>
      </c>
      <c r="CY30" s="13" t="e">
        <f t="shared" si="35"/>
        <v>#DIV/0!</v>
      </c>
    </row>
    <row r="31" spans="1:103" s="12" customFormat="1" ht="20" customHeight="1">
      <c r="A31" s="16"/>
      <c r="B31" s="15" t="s">
        <v>10</v>
      </c>
      <c r="C31" s="12">
        <v>76</v>
      </c>
      <c r="D31" s="14">
        <v>72926.666666380013</v>
      </c>
      <c r="E31" s="12" t="e">
        <f>C31-#REF!</f>
        <v>#REF!</v>
      </c>
      <c r="F31" s="14" t="e">
        <f>D31-#REF!</f>
        <v>#REF!</v>
      </c>
      <c r="G31" s="13" t="e">
        <f>(D31-#REF!)/#REF!</f>
        <v>#REF!</v>
      </c>
      <c r="I31" s="16"/>
      <c r="J31" s="15" t="s">
        <v>10</v>
      </c>
      <c r="K31" s="12">
        <v>87</v>
      </c>
      <c r="L31" s="14">
        <v>91042.857142479974</v>
      </c>
      <c r="M31" s="12">
        <f t="shared" si="42"/>
        <v>11</v>
      </c>
      <c r="N31" s="14">
        <f t="shared" si="43"/>
        <v>18116.190476099961</v>
      </c>
      <c r="O31" s="13">
        <f t="shared" si="44"/>
        <v>0.24841654369006999</v>
      </c>
      <c r="Q31" s="16"/>
      <c r="R31" s="15" t="s">
        <v>10</v>
      </c>
      <c r="S31" s="12">
        <v>96</v>
      </c>
      <c r="T31" s="14">
        <v>82759.999999669977</v>
      </c>
      <c r="U31" s="12">
        <f t="shared" si="3"/>
        <v>9</v>
      </c>
      <c r="V31" s="14">
        <f t="shared" si="4"/>
        <v>-8282.8571428099967</v>
      </c>
      <c r="W31" s="13">
        <f t="shared" si="5"/>
        <v>-9.0977561587808217E-2</v>
      </c>
      <c r="Y31" s="16"/>
      <c r="Z31" s="15" t="s">
        <v>10</v>
      </c>
      <c r="AA31" s="12">
        <v>89</v>
      </c>
      <c r="AB31" s="14">
        <v>73779.999999660009</v>
      </c>
      <c r="AC31" s="12">
        <f t="shared" si="6"/>
        <v>-7</v>
      </c>
      <c r="AD31" s="14">
        <f t="shared" si="7"/>
        <v>-8980.0000000099681</v>
      </c>
      <c r="AE31" s="13">
        <f t="shared" si="8"/>
        <v>-0.10850652489180496</v>
      </c>
      <c r="AG31" s="16"/>
      <c r="AH31" s="15" t="s">
        <v>10</v>
      </c>
      <c r="AI31" s="12">
        <v>101</v>
      </c>
      <c r="AJ31" s="14">
        <v>68707.619047310043</v>
      </c>
      <c r="AK31" s="12">
        <f t="shared" si="9"/>
        <v>12</v>
      </c>
      <c r="AL31" s="14">
        <f t="shared" si="10"/>
        <v>-5072.3809523499658</v>
      </c>
      <c r="AM31" s="13">
        <f t="shared" si="11"/>
        <v>-6.8750080677329087E-2</v>
      </c>
      <c r="AO31" s="16"/>
      <c r="AP31" s="15" t="s">
        <v>10</v>
      </c>
      <c r="AQ31" s="12">
        <v>101</v>
      </c>
      <c r="AR31" s="14">
        <v>78228.571428199983</v>
      </c>
      <c r="AS31" s="12">
        <f t="shared" si="12"/>
        <v>0</v>
      </c>
      <c r="AT31" s="14">
        <f t="shared" si="13"/>
        <v>9520.9523808899394</v>
      </c>
      <c r="AU31" s="13">
        <f t="shared" si="14"/>
        <v>0.1385720028274316</v>
      </c>
      <c r="AW31" s="16"/>
      <c r="AX31" s="15" t="s">
        <v>10</v>
      </c>
      <c r="AY31" s="12">
        <v>106</v>
      </c>
      <c r="AZ31" s="14">
        <v>90619.047618689961</v>
      </c>
      <c r="BA31" s="12">
        <f t="shared" si="15"/>
        <v>5</v>
      </c>
      <c r="BB31" s="14">
        <f t="shared" si="16"/>
        <v>12390.476190489979</v>
      </c>
      <c r="BC31" s="13">
        <f t="shared" si="17"/>
        <v>0.15838811784850562</v>
      </c>
      <c r="BE31" s="16"/>
      <c r="BF31" s="15" t="s">
        <v>10</v>
      </c>
      <c r="BG31" s="12">
        <v>198</v>
      </c>
      <c r="BH31" s="14">
        <v>132027.61904719996</v>
      </c>
      <c r="BI31" s="12">
        <f t="shared" si="18"/>
        <v>92</v>
      </c>
      <c r="BJ31" s="14">
        <f t="shared" si="19"/>
        <v>41408.571428509997</v>
      </c>
      <c r="BK31" s="13">
        <f t="shared" si="20"/>
        <v>0.45695218076833527</v>
      </c>
      <c r="BL31" s="17"/>
      <c r="BM31" s="16"/>
      <c r="BN31" s="15" t="s">
        <v>10</v>
      </c>
      <c r="BO31" s="12">
        <v>130</v>
      </c>
      <c r="BP31" s="14">
        <v>91479.047618659984</v>
      </c>
      <c r="BQ31" s="12">
        <f t="shared" si="21"/>
        <v>-68</v>
      </c>
      <c r="BR31" s="14">
        <f t="shared" si="22"/>
        <v>-40548.571428539974</v>
      </c>
      <c r="BS31" s="13">
        <f t="shared" si="23"/>
        <v>-0.30712188647470673</v>
      </c>
      <c r="BU31" s="16"/>
      <c r="BV31" s="15" t="s">
        <v>10</v>
      </c>
      <c r="BW31" s="12">
        <v>93</v>
      </c>
      <c r="BX31" s="14">
        <v>92443.80952345999</v>
      </c>
      <c r="BY31" s="12">
        <f t="shared" si="24"/>
        <v>-37</v>
      </c>
      <c r="BZ31" s="14">
        <f t="shared" si="25"/>
        <v>964.76190480000514</v>
      </c>
      <c r="CA31" s="13">
        <f t="shared" si="26"/>
        <v>1.0546260918912453E-2</v>
      </c>
      <c r="CC31" s="16"/>
      <c r="CD31" s="15" t="s">
        <v>10</v>
      </c>
      <c r="CE31" s="12">
        <v>54</v>
      </c>
      <c r="CF31" s="14">
        <v>67035.238095029999</v>
      </c>
      <c r="CG31" s="12">
        <f t="shared" si="27"/>
        <v>-39</v>
      </c>
      <c r="CH31" s="14">
        <f t="shared" si="28"/>
        <v>-25408.57142842999</v>
      </c>
      <c r="CI31" s="13">
        <f t="shared" si="29"/>
        <v>-0.27485422289939182</v>
      </c>
      <c r="CK31" s="16"/>
      <c r="CL31" s="15" t="s">
        <v>10</v>
      </c>
      <c r="CM31" s="12">
        <v>164</v>
      </c>
      <c r="CN31" s="14">
        <v>150338.09523745984</v>
      </c>
      <c r="CO31" s="12">
        <f t="shared" si="30"/>
        <v>110</v>
      </c>
      <c r="CP31" s="14">
        <f t="shared" si="31"/>
        <v>83302.857142429842</v>
      </c>
      <c r="CQ31" s="13">
        <f t="shared" si="32"/>
        <v>1.2426726526179956</v>
      </c>
      <c r="CS31" s="16"/>
      <c r="CT31" s="15" t="s">
        <v>10</v>
      </c>
      <c r="CU31" s="12">
        <v>174</v>
      </c>
      <c r="CV31" s="14">
        <v>150470.47618987996</v>
      </c>
      <c r="CW31" s="12">
        <f t="shared" si="33"/>
        <v>10</v>
      </c>
      <c r="CX31" s="14">
        <f t="shared" si="34"/>
        <v>132.38095242012059</v>
      </c>
      <c r="CY31" s="13">
        <f t="shared" si="35"/>
        <v>8.8055493992407019E-4</v>
      </c>
    </row>
    <row r="32" spans="1:103" s="12" customFormat="1" ht="20" customHeight="1">
      <c r="A32" s="16"/>
      <c r="B32" s="15" t="s">
        <v>9</v>
      </c>
      <c r="C32" s="12">
        <v>66</v>
      </c>
      <c r="D32" s="14">
        <v>60634.285714190009</v>
      </c>
      <c r="E32" s="12" t="e">
        <f>C32-#REF!</f>
        <v>#REF!</v>
      </c>
      <c r="F32" s="14" t="e">
        <f>D32-#REF!</f>
        <v>#REF!</v>
      </c>
      <c r="G32" s="13" t="e">
        <f>(D32-#REF!)/#REF!</f>
        <v>#REF!</v>
      </c>
      <c r="I32" s="16"/>
      <c r="J32" s="15" t="s">
        <v>9</v>
      </c>
      <c r="K32" s="12">
        <v>76</v>
      </c>
      <c r="L32" s="14">
        <v>75731.428571309996</v>
      </c>
      <c r="M32" s="12">
        <f t="shared" si="42"/>
        <v>10</v>
      </c>
      <c r="N32" s="14">
        <f t="shared" si="43"/>
        <v>15097.142857119987</v>
      </c>
      <c r="O32" s="13">
        <f t="shared" si="44"/>
        <v>0.24898690038640731</v>
      </c>
      <c r="Q32" s="16"/>
      <c r="R32" s="15" t="s">
        <v>9</v>
      </c>
      <c r="S32" s="12">
        <v>65</v>
      </c>
      <c r="T32" s="14">
        <v>76247.619047519998</v>
      </c>
      <c r="U32" s="12">
        <f t="shared" si="3"/>
        <v>-11</v>
      </c>
      <c r="V32" s="14">
        <f t="shared" si="4"/>
        <v>516.19047621000209</v>
      </c>
      <c r="W32" s="13">
        <f t="shared" si="5"/>
        <v>6.8160668027534748E-3</v>
      </c>
      <c r="Y32" s="16"/>
      <c r="Z32" s="15" t="s">
        <v>9</v>
      </c>
      <c r="AA32" s="12">
        <v>73</v>
      </c>
      <c r="AB32" s="14">
        <v>73618.095238030015</v>
      </c>
      <c r="AC32" s="12">
        <f t="shared" si="6"/>
        <v>8</v>
      </c>
      <c r="AD32" s="14">
        <f t="shared" si="7"/>
        <v>-2629.5238094899833</v>
      </c>
      <c r="AE32" s="13">
        <f t="shared" si="8"/>
        <v>-3.4486635023333365E-2</v>
      </c>
      <c r="AG32" s="16"/>
      <c r="AH32" s="15" t="s">
        <v>9</v>
      </c>
      <c r="AI32" s="12">
        <v>56</v>
      </c>
      <c r="AJ32" s="14">
        <v>54739.047618970013</v>
      </c>
      <c r="AK32" s="12">
        <f t="shared" si="9"/>
        <v>-17</v>
      </c>
      <c r="AL32" s="14">
        <f t="shared" si="10"/>
        <v>-18879.047619060002</v>
      </c>
      <c r="AM32" s="13">
        <f t="shared" si="11"/>
        <v>-0.25644574962199468</v>
      </c>
      <c r="AO32" s="16"/>
      <c r="AP32" s="15" t="s">
        <v>9</v>
      </c>
      <c r="AQ32" s="12">
        <v>90</v>
      </c>
      <c r="AR32" s="14">
        <v>123673.33333324999</v>
      </c>
      <c r="AS32" s="12">
        <f t="shared" si="12"/>
        <v>34</v>
      </c>
      <c r="AT32" s="14">
        <f t="shared" si="13"/>
        <v>68934.285714279977</v>
      </c>
      <c r="AU32" s="13">
        <f t="shared" si="14"/>
        <v>1.2593256315696393</v>
      </c>
      <c r="AW32" s="16"/>
      <c r="AX32" s="15" t="s">
        <v>9</v>
      </c>
      <c r="AY32" s="12">
        <v>91</v>
      </c>
      <c r="AZ32" s="14">
        <v>98639.047618909986</v>
      </c>
      <c r="BA32" s="12">
        <f t="shared" si="15"/>
        <v>1</v>
      </c>
      <c r="BB32" s="14">
        <f t="shared" si="16"/>
        <v>-25034.285714340003</v>
      </c>
      <c r="BC32" s="13">
        <f t="shared" si="17"/>
        <v>-0.20242266493199995</v>
      </c>
      <c r="BE32" s="16"/>
      <c r="BF32" s="15" t="s">
        <v>9</v>
      </c>
      <c r="BG32" s="12">
        <v>151</v>
      </c>
      <c r="BH32" s="14">
        <v>146826.66666646997</v>
      </c>
      <c r="BI32" s="12">
        <f t="shared" si="18"/>
        <v>60</v>
      </c>
      <c r="BJ32" s="14">
        <f t="shared" si="19"/>
        <v>48187.619047559987</v>
      </c>
      <c r="BK32" s="13">
        <f t="shared" si="20"/>
        <v>0.48852478010262124</v>
      </c>
      <c r="BL32" s="17"/>
      <c r="BM32" s="16"/>
      <c r="BN32" s="15" t="s">
        <v>9</v>
      </c>
      <c r="BO32" s="12">
        <v>97</v>
      </c>
      <c r="BP32" s="14">
        <v>102091.42857131</v>
      </c>
      <c r="BQ32" s="12">
        <f t="shared" si="21"/>
        <v>-54</v>
      </c>
      <c r="BR32" s="14">
        <f t="shared" si="22"/>
        <v>-44735.238095159977</v>
      </c>
      <c r="BS32" s="13">
        <f t="shared" si="23"/>
        <v>-0.30468060816758924</v>
      </c>
      <c r="BU32" s="16"/>
      <c r="BV32" s="15" t="s">
        <v>9</v>
      </c>
      <c r="BW32" s="12">
        <v>73</v>
      </c>
      <c r="BX32" s="14">
        <v>68000.95238084998</v>
      </c>
      <c r="BY32" s="12">
        <f t="shared" si="24"/>
        <v>-24</v>
      </c>
      <c r="BZ32" s="14">
        <f t="shared" si="25"/>
        <v>-34090.476190460016</v>
      </c>
      <c r="CA32" s="13">
        <f t="shared" si="26"/>
        <v>-0.33392104183014842</v>
      </c>
      <c r="CC32" s="16"/>
      <c r="CD32" s="15" t="s">
        <v>9</v>
      </c>
      <c r="CE32" s="12">
        <v>69</v>
      </c>
      <c r="CF32" s="14">
        <v>66744.761904640007</v>
      </c>
      <c r="CG32" s="12">
        <f t="shared" si="27"/>
        <v>-4</v>
      </c>
      <c r="CH32" s="14">
        <f t="shared" si="28"/>
        <v>-1256.190476209973</v>
      </c>
      <c r="CI32" s="13">
        <f t="shared" si="29"/>
        <v>-1.8473130628737101E-2</v>
      </c>
      <c r="CK32" s="16"/>
      <c r="CL32" s="15" t="s">
        <v>9</v>
      </c>
      <c r="CM32" s="12">
        <v>82</v>
      </c>
      <c r="CN32" s="14">
        <v>112414.28571415001</v>
      </c>
      <c r="CO32" s="12">
        <f t="shared" si="30"/>
        <v>13</v>
      </c>
      <c r="CP32" s="14">
        <f t="shared" si="31"/>
        <v>45669.523809510007</v>
      </c>
      <c r="CQ32" s="13">
        <f t="shared" si="32"/>
        <v>0.68424131731504645</v>
      </c>
      <c r="CS32" s="16"/>
      <c r="CT32" s="15" t="s">
        <v>9</v>
      </c>
      <c r="CU32" s="12">
        <v>104</v>
      </c>
      <c r="CV32" s="14">
        <v>112930.47619033001</v>
      </c>
      <c r="CW32" s="12">
        <f t="shared" si="33"/>
        <v>22</v>
      </c>
      <c r="CX32" s="14">
        <f t="shared" si="34"/>
        <v>516.19047617999604</v>
      </c>
      <c r="CY32" s="13">
        <f t="shared" si="35"/>
        <v>4.5918583470127517E-3</v>
      </c>
    </row>
    <row r="33" spans="1:103" s="12" customFormat="1" ht="20" customHeight="1">
      <c r="A33" s="16"/>
      <c r="B33" s="15" t="s">
        <v>8</v>
      </c>
      <c r="C33" s="12">
        <v>16</v>
      </c>
      <c r="D33" s="14">
        <v>111276.19047618</v>
      </c>
      <c r="E33" s="12" t="e">
        <f>C33-#REF!</f>
        <v>#REF!</v>
      </c>
      <c r="F33" s="14" t="e">
        <f>D33-#REF!</f>
        <v>#REF!</v>
      </c>
      <c r="G33" s="13" t="e">
        <f>(D33-#REF!)/#REF!</f>
        <v>#REF!</v>
      </c>
      <c r="I33" s="16"/>
      <c r="J33" s="15" t="s">
        <v>8</v>
      </c>
      <c r="K33" s="12">
        <v>9</v>
      </c>
      <c r="L33" s="14">
        <v>63914.285714269994</v>
      </c>
      <c r="M33" s="12">
        <f t="shared" si="42"/>
        <v>-7</v>
      </c>
      <c r="N33" s="14">
        <f t="shared" si="43"/>
        <v>-47361.904761910002</v>
      </c>
      <c r="O33" s="13">
        <f t="shared" si="44"/>
        <v>-0.42562478603226794</v>
      </c>
      <c r="Q33" s="16"/>
      <c r="R33" s="15" t="s">
        <v>8</v>
      </c>
      <c r="S33" s="12">
        <v>22</v>
      </c>
      <c r="T33" s="14">
        <v>168647.61904759001</v>
      </c>
      <c r="U33" s="12">
        <f t="shared" si="3"/>
        <v>13</v>
      </c>
      <c r="V33" s="14">
        <f t="shared" si="4"/>
        <v>104733.33333332001</v>
      </c>
      <c r="W33" s="13">
        <f t="shared" si="5"/>
        <v>1.6386529578306224</v>
      </c>
      <c r="Y33" s="16"/>
      <c r="Z33" s="15" t="s">
        <v>8</v>
      </c>
      <c r="AA33" s="12">
        <v>23</v>
      </c>
      <c r="AB33" s="14">
        <v>150066.66666665001</v>
      </c>
      <c r="AC33" s="12">
        <f t="shared" si="6"/>
        <v>1</v>
      </c>
      <c r="AD33" s="14">
        <f t="shared" si="7"/>
        <v>-18580.952380939998</v>
      </c>
      <c r="AE33" s="13">
        <f t="shared" si="8"/>
        <v>-0.11017619155178653</v>
      </c>
      <c r="AG33" s="16"/>
      <c r="AH33" s="15" t="s">
        <v>8</v>
      </c>
      <c r="AI33" s="12">
        <v>17</v>
      </c>
      <c r="AJ33" s="14">
        <v>108123.8095238</v>
      </c>
      <c r="AK33" s="12">
        <f t="shared" si="9"/>
        <v>-6</v>
      </c>
      <c r="AL33" s="14">
        <f t="shared" si="10"/>
        <v>-41942.857142850014</v>
      </c>
      <c r="AM33" s="13">
        <f t="shared" si="11"/>
        <v>-0.27949482769561085</v>
      </c>
      <c r="AO33" s="16"/>
      <c r="AP33" s="15" t="s">
        <v>8</v>
      </c>
      <c r="AQ33" s="12">
        <v>17</v>
      </c>
      <c r="AR33" s="14">
        <v>96695.238095229986</v>
      </c>
      <c r="AS33" s="12">
        <f t="shared" si="12"/>
        <v>0</v>
      </c>
      <c r="AT33" s="14">
        <f t="shared" si="13"/>
        <v>-11428.571428570009</v>
      </c>
      <c r="AU33" s="13">
        <f t="shared" si="14"/>
        <v>-0.10569893420240964</v>
      </c>
      <c r="AW33" s="16"/>
      <c r="AX33" s="15" t="s">
        <v>8</v>
      </c>
      <c r="AY33" s="12">
        <v>20</v>
      </c>
      <c r="AZ33" s="14">
        <v>128666.66666664</v>
      </c>
      <c r="BA33" s="12">
        <f t="shared" si="15"/>
        <v>3</v>
      </c>
      <c r="BB33" s="14">
        <f t="shared" si="16"/>
        <v>31971.428571410012</v>
      </c>
      <c r="BC33" s="13">
        <f t="shared" si="17"/>
        <v>0.33064118979595514</v>
      </c>
      <c r="BE33" s="16"/>
      <c r="BF33" s="15" t="s">
        <v>8</v>
      </c>
      <c r="BG33" s="12">
        <v>21</v>
      </c>
      <c r="BH33" s="14">
        <v>152119.99999998999</v>
      </c>
      <c r="BI33" s="12">
        <f t="shared" si="18"/>
        <v>1</v>
      </c>
      <c r="BJ33" s="14">
        <f t="shared" si="19"/>
        <v>23453.33333334999</v>
      </c>
      <c r="BK33" s="13">
        <f t="shared" si="20"/>
        <v>0.18227979274628123</v>
      </c>
      <c r="BL33" s="17"/>
      <c r="BM33" s="16"/>
      <c r="BN33" s="15" t="s">
        <v>8</v>
      </c>
      <c r="BO33" s="12">
        <v>20</v>
      </c>
      <c r="BP33" s="14">
        <v>112358.09523808</v>
      </c>
      <c r="BQ33" s="12">
        <f t="shared" si="21"/>
        <v>-1</v>
      </c>
      <c r="BR33" s="14">
        <f t="shared" si="22"/>
        <v>-39761.904761909987</v>
      </c>
      <c r="BS33" s="13">
        <f t="shared" si="23"/>
        <v>-0.26138512202151332</v>
      </c>
      <c r="BU33" s="16"/>
      <c r="BV33" s="15" t="s">
        <v>8</v>
      </c>
      <c r="BW33" s="12">
        <v>11</v>
      </c>
      <c r="BX33" s="14">
        <v>82752.380952349995</v>
      </c>
      <c r="BY33" s="12">
        <f t="shared" si="24"/>
        <v>-9</v>
      </c>
      <c r="BZ33" s="14">
        <f t="shared" si="25"/>
        <v>-29605.714285730006</v>
      </c>
      <c r="CA33" s="13">
        <f t="shared" si="26"/>
        <v>-0.26349427002119685</v>
      </c>
      <c r="CC33" s="16"/>
      <c r="CD33" s="15" t="s">
        <v>8</v>
      </c>
      <c r="CE33" s="12">
        <v>12</v>
      </c>
      <c r="CF33" s="14">
        <v>68839.047619040008</v>
      </c>
      <c r="CG33" s="12">
        <f t="shared" si="27"/>
        <v>1</v>
      </c>
      <c r="CH33" s="14">
        <f t="shared" si="28"/>
        <v>-13913.333333309987</v>
      </c>
      <c r="CI33" s="13">
        <f t="shared" si="29"/>
        <v>-0.16813212107240133</v>
      </c>
      <c r="CK33" s="16"/>
      <c r="CL33" s="15" t="s">
        <v>8</v>
      </c>
      <c r="CM33" s="12">
        <v>7</v>
      </c>
      <c r="CN33" s="14">
        <v>50219.047619029996</v>
      </c>
      <c r="CO33" s="12">
        <f t="shared" si="30"/>
        <v>-5</v>
      </c>
      <c r="CP33" s="14">
        <f t="shared" si="31"/>
        <v>-18620.000000010012</v>
      </c>
      <c r="CQ33" s="13">
        <f t="shared" si="32"/>
        <v>-0.27048601983941389</v>
      </c>
      <c r="CS33" s="16"/>
      <c r="CT33" s="15" t="s">
        <v>8</v>
      </c>
      <c r="CU33" s="12">
        <v>17</v>
      </c>
      <c r="CV33" s="14">
        <v>107838.09523807999</v>
      </c>
      <c r="CW33" s="12">
        <f t="shared" si="33"/>
        <v>10</v>
      </c>
      <c r="CX33" s="14">
        <f t="shared" si="34"/>
        <v>57619.04761904999</v>
      </c>
      <c r="CY33" s="13">
        <f t="shared" si="35"/>
        <v>1.1473544471842163</v>
      </c>
    </row>
    <row r="34" spans="1:103" s="12" customFormat="1" ht="20" customHeight="1">
      <c r="A34" s="16"/>
      <c r="B34" s="15" t="s">
        <v>7</v>
      </c>
      <c r="C34" s="12">
        <v>9</v>
      </c>
      <c r="D34" s="14">
        <v>113384.76190474001</v>
      </c>
      <c r="E34" s="12" t="e">
        <f>C34-#REF!</f>
        <v>#REF!</v>
      </c>
      <c r="F34" s="14" t="e">
        <f>D34-#REF!</f>
        <v>#REF!</v>
      </c>
      <c r="G34" s="13" t="e">
        <f>(D34-#REF!)/#REF!</f>
        <v>#REF!</v>
      </c>
      <c r="I34" s="16"/>
      <c r="J34" s="15" t="s">
        <v>7</v>
      </c>
      <c r="K34" s="12">
        <v>12</v>
      </c>
      <c r="L34" s="14">
        <v>155630.47619043</v>
      </c>
      <c r="M34" s="12">
        <f t="shared" si="42"/>
        <v>3</v>
      </c>
      <c r="N34" s="14">
        <f t="shared" si="43"/>
        <v>42245.714285689988</v>
      </c>
      <c r="O34" s="13">
        <f t="shared" si="44"/>
        <v>0.37258722932436589</v>
      </c>
      <c r="Q34" s="16"/>
      <c r="R34" s="15" t="s">
        <v>7</v>
      </c>
      <c r="S34" s="12">
        <v>15</v>
      </c>
      <c r="T34" s="14">
        <v>217714.28571425</v>
      </c>
      <c r="U34" s="12">
        <f t="shared" si="3"/>
        <v>3</v>
      </c>
      <c r="V34" s="14">
        <f t="shared" si="4"/>
        <v>62083.809523820004</v>
      </c>
      <c r="W34" s="13">
        <f t="shared" si="5"/>
        <v>0.39891807211239294</v>
      </c>
      <c r="Y34" s="16"/>
      <c r="Z34" s="15" t="s">
        <v>7</v>
      </c>
      <c r="AA34" s="12">
        <v>10</v>
      </c>
      <c r="AB34" s="14">
        <v>135619.04761903</v>
      </c>
      <c r="AC34" s="12">
        <f t="shared" si="6"/>
        <v>-5</v>
      </c>
      <c r="AD34" s="14">
        <f t="shared" si="7"/>
        <v>-82095.238095220004</v>
      </c>
      <c r="AE34" s="13">
        <f t="shared" si="8"/>
        <v>-0.37707786526682041</v>
      </c>
      <c r="AG34" s="16"/>
      <c r="AH34" s="15" t="s">
        <v>7</v>
      </c>
      <c r="AI34" s="12">
        <v>7</v>
      </c>
      <c r="AJ34" s="14">
        <v>89809.52380950001</v>
      </c>
      <c r="AK34" s="12">
        <f t="shared" si="9"/>
        <v>-3</v>
      </c>
      <c r="AL34" s="14">
        <f t="shared" si="10"/>
        <v>-45809.523809529986</v>
      </c>
      <c r="AM34" s="13">
        <f t="shared" si="11"/>
        <v>-0.33778089887649393</v>
      </c>
      <c r="AO34" s="16"/>
      <c r="AP34" s="15" t="s">
        <v>7</v>
      </c>
      <c r="AQ34" s="12">
        <v>11</v>
      </c>
      <c r="AR34" s="14">
        <v>124476.19047616</v>
      </c>
      <c r="AS34" s="12">
        <f t="shared" si="12"/>
        <v>4</v>
      </c>
      <c r="AT34" s="14">
        <f t="shared" si="13"/>
        <v>34666.666666659992</v>
      </c>
      <c r="AU34" s="13">
        <f t="shared" si="14"/>
        <v>0.3860021208908021</v>
      </c>
      <c r="AW34" s="16"/>
      <c r="AX34" s="15" t="s">
        <v>7</v>
      </c>
      <c r="AY34" s="12">
        <v>17</v>
      </c>
      <c r="AZ34" s="14">
        <v>181523.80952375999</v>
      </c>
      <c r="BA34" s="12">
        <f t="shared" si="15"/>
        <v>6</v>
      </c>
      <c r="BB34" s="14">
        <f t="shared" si="16"/>
        <v>57047.61904759999</v>
      </c>
      <c r="BC34" s="13">
        <f t="shared" si="17"/>
        <v>0.45830145371074715</v>
      </c>
      <c r="BE34" s="16"/>
      <c r="BF34" s="15" t="s">
        <v>7</v>
      </c>
      <c r="BG34" s="12">
        <v>9</v>
      </c>
      <c r="BH34" s="14">
        <v>63999.999999990003</v>
      </c>
      <c r="BI34" s="12">
        <f t="shared" si="18"/>
        <v>-8</v>
      </c>
      <c r="BJ34" s="14">
        <f t="shared" si="19"/>
        <v>-117523.80952376999</v>
      </c>
      <c r="BK34" s="13">
        <f t="shared" si="20"/>
        <v>-0.64742917103878361</v>
      </c>
      <c r="BL34" s="17"/>
      <c r="BM34" s="16"/>
      <c r="BN34" s="15" t="s">
        <v>7</v>
      </c>
      <c r="BO34" s="12">
        <v>4</v>
      </c>
      <c r="BP34" s="14">
        <v>47809.523809500002</v>
      </c>
      <c r="BQ34" s="12">
        <f t="shared" si="21"/>
        <v>-5</v>
      </c>
      <c r="BR34" s="14">
        <f t="shared" si="22"/>
        <v>-16190.476190490001</v>
      </c>
      <c r="BS34" s="13">
        <f t="shared" si="23"/>
        <v>-0.25297619047644576</v>
      </c>
      <c r="BU34" s="16"/>
      <c r="BV34" s="15" t="s">
        <v>7</v>
      </c>
      <c r="BW34" s="12">
        <v>8</v>
      </c>
      <c r="BX34" s="14">
        <v>54857.142857140003</v>
      </c>
      <c r="BY34" s="12">
        <f t="shared" si="24"/>
        <v>4</v>
      </c>
      <c r="BZ34" s="14">
        <f t="shared" si="25"/>
        <v>7047.6190476400006</v>
      </c>
      <c r="CA34" s="13">
        <f t="shared" si="26"/>
        <v>0.14741035856624871</v>
      </c>
      <c r="CC34" s="16"/>
      <c r="CD34" s="15" t="s">
        <v>7</v>
      </c>
      <c r="CE34" s="12">
        <v>2</v>
      </c>
      <c r="CF34" s="14">
        <v>13714.28571428</v>
      </c>
      <c r="CG34" s="12">
        <f t="shared" si="27"/>
        <v>-6</v>
      </c>
      <c r="CH34" s="14">
        <f t="shared" si="28"/>
        <v>-41142.857142860004</v>
      </c>
      <c r="CI34" s="13">
        <f t="shared" si="29"/>
        <v>-0.75000000000009115</v>
      </c>
      <c r="CK34" s="16"/>
      <c r="CL34" s="15" t="s">
        <v>7</v>
      </c>
      <c r="CM34" s="12">
        <v>22</v>
      </c>
      <c r="CN34" s="14">
        <v>319809.52380947</v>
      </c>
      <c r="CO34" s="12">
        <f t="shared" si="30"/>
        <v>20</v>
      </c>
      <c r="CP34" s="14">
        <f t="shared" si="31"/>
        <v>306095.23809519003</v>
      </c>
      <c r="CQ34" s="13">
        <f t="shared" si="32"/>
        <v>22.319444444450237</v>
      </c>
      <c r="CS34" s="16"/>
      <c r="CT34" s="15" t="s">
        <v>7</v>
      </c>
      <c r="CU34" s="12">
        <v>34</v>
      </c>
      <c r="CV34" s="14">
        <v>553904.76190468005</v>
      </c>
      <c r="CW34" s="12">
        <f t="shared" si="33"/>
        <v>12</v>
      </c>
      <c r="CX34" s="14">
        <f t="shared" si="34"/>
        <v>234095.23809521005</v>
      </c>
      <c r="CY34" s="13">
        <f t="shared" si="35"/>
        <v>0.73198332340682526</v>
      </c>
    </row>
    <row r="35" spans="1:103" s="12" customFormat="1" ht="20" customHeight="1">
      <c r="A35" s="16"/>
      <c r="B35" s="15" t="s">
        <v>6</v>
      </c>
      <c r="C35" s="12">
        <v>3</v>
      </c>
      <c r="D35" s="14">
        <v>14571.428571419998</v>
      </c>
      <c r="E35" s="12" t="e">
        <f>C35-#REF!</f>
        <v>#REF!</v>
      </c>
      <c r="F35" s="14" t="e">
        <f>D35-#REF!</f>
        <v>#REF!</v>
      </c>
      <c r="G35" s="13" t="e">
        <f>(D35-#REF!)/#REF!</f>
        <v>#REF!</v>
      </c>
      <c r="I35" s="16"/>
      <c r="J35" s="15" t="s">
        <v>6</v>
      </c>
      <c r="K35" s="12">
        <v>1</v>
      </c>
      <c r="L35" s="14">
        <v>2857.1428571400002</v>
      </c>
      <c r="M35" s="12">
        <f t="shared" si="42"/>
        <v>-2</v>
      </c>
      <c r="N35" s="14">
        <f t="shared" si="43"/>
        <v>-11714.285714279999</v>
      </c>
      <c r="O35" s="13">
        <f t="shared" si="44"/>
        <v>-0.80392156862753172</v>
      </c>
      <c r="Q35" s="16"/>
      <c r="R35" s="15" t="s">
        <v>6</v>
      </c>
      <c r="S35" s="12">
        <v>1</v>
      </c>
      <c r="T35" s="14">
        <v>2857.1428571400002</v>
      </c>
      <c r="U35" s="12">
        <f t="shared" si="3"/>
        <v>0</v>
      </c>
      <c r="V35" s="14">
        <f t="shared" si="4"/>
        <v>0</v>
      </c>
      <c r="W35" s="13">
        <f t="shared" si="5"/>
        <v>0</v>
      </c>
      <c r="Y35" s="16"/>
      <c r="Z35" s="15" t="s">
        <v>6</v>
      </c>
      <c r="AA35" s="12">
        <v>2</v>
      </c>
      <c r="AB35" s="14">
        <v>11714.285714279999</v>
      </c>
      <c r="AC35" s="12">
        <f t="shared" si="6"/>
        <v>1</v>
      </c>
      <c r="AD35" s="14">
        <f t="shared" si="7"/>
        <v>8857.1428571399993</v>
      </c>
      <c r="AE35" s="13">
        <f t="shared" si="8"/>
        <v>3.1000000000020997</v>
      </c>
      <c r="AG35" s="16"/>
      <c r="AH35" s="15" t="s">
        <v>6</v>
      </c>
      <c r="AI35" s="12">
        <v>2</v>
      </c>
      <c r="AJ35" s="14">
        <v>17714.285714279999</v>
      </c>
      <c r="AK35" s="12">
        <f t="shared" si="9"/>
        <v>0</v>
      </c>
      <c r="AL35" s="14">
        <f t="shared" si="10"/>
        <v>6000</v>
      </c>
      <c r="AM35" s="13">
        <f t="shared" si="11"/>
        <v>0.51219512195146943</v>
      </c>
      <c r="AO35" s="16"/>
      <c r="AP35" s="15" t="s">
        <v>6</v>
      </c>
      <c r="AQ35" s="12">
        <v>0</v>
      </c>
      <c r="AR35" s="14">
        <v>0</v>
      </c>
      <c r="AS35" s="12">
        <f t="shared" si="12"/>
        <v>-2</v>
      </c>
      <c r="AT35" s="14">
        <f t="shared" si="13"/>
        <v>-17714.285714279999</v>
      </c>
      <c r="AU35" s="13">
        <f t="shared" si="14"/>
        <v>-1</v>
      </c>
      <c r="AW35" s="16"/>
      <c r="AX35" s="15" t="s">
        <v>6</v>
      </c>
      <c r="AY35" s="12">
        <v>4</v>
      </c>
      <c r="AZ35" s="14">
        <v>14662.857142839999</v>
      </c>
      <c r="BA35" s="12">
        <f t="shared" si="15"/>
        <v>4</v>
      </c>
      <c r="BB35" s="14">
        <f t="shared" si="16"/>
        <v>14662.857142839999</v>
      </c>
      <c r="BC35" s="13" t="e">
        <f t="shared" si="17"/>
        <v>#DIV/0!</v>
      </c>
      <c r="BE35" s="16"/>
      <c r="BF35" s="15" t="s">
        <v>6</v>
      </c>
      <c r="BG35" s="12">
        <v>4</v>
      </c>
      <c r="BH35" s="14">
        <v>13651.428571420001</v>
      </c>
      <c r="BI35" s="12">
        <f t="shared" si="18"/>
        <v>0</v>
      </c>
      <c r="BJ35" s="14">
        <f t="shared" si="19"/>
        <v>-1011.4285714199978</v>
      </c>
      <c r="BK35" s="13">
        <f t="shared" si="20"/>
        <v>-6.8978955572372005E-2</v>
      </c>
      <c r="BL35" s="17"/>
      <c r="BM35" s="16"/>
      <c r="BN35" s="15" t="s">
        <v>6</v>
      </c>
      <c r="BO35" s="12">
        <v>4</v>
      </c>
      <c r="BP35" s="14">
        <v>11428.57142857</v>
      </c>
      <c r="BQ35" s="12">
        <f t="shared" si="21"/>
        <v>0</v>
      </c>
      <c r="BR35" s="14">
        <f t="shared" si="22"/>
        <v>-2222.8571428500018</v>
      </c>
      <c r="BS35" s="13">
        <f t="shared" si="23"/>
        <v>-0.16282963583047069</v>
      </c>
      <c r="BU35" s="16"/>
      <c r="BV35" s="15" t="s">
        <v>6</v>
      </c>
      <c r="BW35" s="12">
        <v>0</v>
      </c>
      <c r="BX35" s="14">
        <v>0</v>
      </c>
      <c r="BY35" s="12">
        <f t="shared" si="24"/>
        <v>-4</v>
      </c>
      <c r="BZ35" s="14">
        <f t="shared" si="25"/>
        <v>-11428.57142857</v>
      </c>
      <c r="CA35" s="13">
        <f t="shared" si="26"/>
        <v>-1</v>
      </c>
      <c r="CC35" s="16"/>
      <c r="CD35" s="15" t="s">
        <v>6</v>
      </c>
      <c r="CE35" s="12">
        <v>2</v>
      </c>
      <c r="CF35" s="14">
        <v>6322.8571428499999</v>
      </c>
      <c r="CG35" s="12">
        <f t="shared" si="27"/>
        <v>2</v>
      </c>
      <c r="CH35" s="14">
        <f t="shared" si="28"/>
        <v>6322.8571428499999</v>
      </c>
      <c r="CI35" s="13" t="e">
        <f t="shared" si="29"/>
        <v>#DIV/0!</v>
      </c>
      <c r="CK35" s="16"/>
      <c r="CL35" s="15" t="s">
        <v>6</v>
      </c>
      <c r="CM35" s="12">
        <v>1</v>
      </c>
      <c r="CN35" s="14">
        <v>2857.1428571400002</v>
      </c>
      <c r="CO35" s="12">
        <f t="shared" si="30"/>
        <v>-1</v>
      </c>
      <c r="CP35" s="14">
        <f t="shared" si="31"/>
        <v>-3465.7142857099998</v>
      </c>
      <c r="CQ35" s="13">
        <f t="shared" si="32"/>
        <v>-0.54812471757788983</v>
      </c>
      <c r="CS35" s="16"/>
      <c r="CT35" s="15" t="s">
        <v>6</v>
      </c>
      <c r="CU35" s="12">
        <v>4</v>
      </c>
      <c r="CV35" s="14">
        <v>12237.14285713</v>
      </c>
      <c r="CW35" s="12">
        <f t="shared" si="33"/>
        <v>3</v>
      </c>
      <c r="CX35" s="14">
        <f t="shared" si="34"/>
        <v>9379.9999999899992</v>
      </c>
      <c r="CY35" s="13">
        <f t="shared" si="35"/>
        <v>3.2829999999997823</v>
      </c>
    </row>
    <row r="36" spans="1:103" s="12" customFormat="1" ht="20" customHeight="1">
      <c r="A36" s="16"/>
      <c r="B36" s="15" t="s">
        <v>5</v>
      </c>
      <c r="C36" s="12">
        <v>2</v>
      </c>
      <c r="D36" s="14">
        <v>4680</v>
      </c>
      <c r="E36" s="12" t="e">
        <f>C36-#REF!</f>
        <v>#REF!</v>
      </c>
      <c r="F36" s="14" t="e">
        <f>D36-#REF!</f>
        <v>#REF!</v>
      </c>
      <c r="G36" s="13" t="e">
        <f>(D36-#REF!)/#REF!</f>
        <v>#REF!</v>
      </c>
      <c r="I36" s="16"/>
      <c r="J36" s="15" t="s">
        <v>5</v>
      </c>
      <c r="K36" s="12">
        <v>1</v>
      </c>
      <c r="L36" s="14">
        <v>2590</v>
      </c>
      <c r="M36" s="12">
        <f t="shared" si="42"/>
        <v>-1</v>
      </c>
      <c r="N36" s="14">
        <f t="shared" si="43"/>
        <v>-2090</v>
      </c>
      <c r="O36" s="13">
        <f t="shared" si="44"/>
        <v>-0.4465811965811966</v>
      </c>
      <c r="Q36" s="16"/>
      <c r="R36" s="15" t="s">
        <v>5</v>
      </c>
      <c r="S36" s="12">
        <v>1</v>
      </c>
      <c r="T36" s="14">
        <v>5790</v>
      </c>
      <c r="U36" s="12">
        <f t="shared" si="3"/>
        <v>0</v>
      </c>
      <c r="V36" s="14">
        <f t="shared" si="4"/>
        <v>3200</v>
      </c>
      <c r="W36" s="13">
        <f t="shared" si="5"/>
        <v>1.2355212355212355</v>
      </c>
      <c r="Y36" s="16"/>
      <c r="Z36" s="15" t="s">
        <v>5</v>
      </c>
      <c r="AA36" s="12">
        <v>3</v>
      </c>
      <c r="AB36" s="14">
        <v>18170</v>
      </c>
      <c r="AC36" s="12">
        <f t="shared" si="6"/>
        <v>2</v>
      </c>
      <c r="AD36" s="14">
        <f t="shared" si="7"/>
        <v>12380</v>
      </c>
      <c r="AE36" s="13">
        <f t="shared" si="8"/>
        <v>2.138169257340242</v>
      </c>
      <c r="AG36" s="16"/>
      <c r="AH36" s="15" t="s">
        <v>5</v>
      </c>
      <c r="AI36" s="12">
        <v>3</v>
      </c>
      <c r="AJ36" s="14">
        <v>15570</v>
      </c>
      <c r="AK36" s="12">
        <f t="shared" si="9"/>
        <v>0</v>
      </c>
      <c r="AL36" s="14">
        <f t="shared" si="10"/>
        <v>-2600</v>
      </c>
      <c r="AM36" s="13">
        <f t="shared" si="11"/>
        <v>-0.14309301045679693</v>
      </c>
      <c r="AO36" s="16"/>
      <c r="AP36" s="15" t="s">
        <v>5</v>
      </c>
      <c r="AQ36" s="12">
        <v>3</v>
      </c>
      <c r="AR36" s="14">
        <v>12770</v>
      </c>
      <c r="AS36" s="12">
        <f t="shared" si="12"/>
        <v>0</v>
      </c>
      <c r="AT36" s="14">
        <f t="shared" si="13"/>
        <v>-2800</v>
      </c>
      <c r="AU36" s="13">
        <f t="shared" si="14"/>
        <v>-0.17983301220295439</v>
      </c>
      <c r="AW36" s="16"/>
      <c r="AX36" s="15" t="s">
        <v>5</v>
      </c>
      <c r="AY36" s="12">
        <v>4</v>
      </c>
      <c r="AZ36" s="14">
        <v>15860</v>
      </c>
      <c r="BA36" s="12">
        <f t="shared" si="15"/>
        <v>1</v>
      </c>
      <c r="BB36" s="14">
        <f t="shared" si="16"/>
        <v>3090</v>
      </c>
      <c r="BC36" s="13">
        <f t="shared" si="17"/>
        <v>0.24197337509788566</v>
      </c>
      <c r="BE36" s="16"/>
      <c r="BF36" s="15" t="s">
        <v>5</v>
      </c>
      <c r="BG36" s="12">
        <v>2</v>
      </c>
      <c r="BH36" s="14">
        <v>8880</v>
      </c>
      <c r="BI36" s="12">
        <f t="shared" si="18"/>
        <v>-2</v>
      </c>
      <c r="BJ36" s="14">
        <f t="shared" si="19"/>
        <v>-6980</v>
      </c>
      <c r="BK36" s="13">
        <f t="shared" si="20"/>
        <v>-0.44010088272383352</v>
      </c>
      <c r="BL36" s="17"/>
      <c r="BM36" s="16"/>
      <c r="BN36" s="15" t="s">
        <v>5</v>
      </c>
      <c r="BO36" s="12">
        <v>4</v>
      </c>
      <c r="BP36" s="14">
        <v>15760</v>
      </c>
      <c r="BQ36" s="12">
        <f t="shared" si="21"/>
        <v>2</v>
      </c>
      <c r="BR36" s="14">
        <f t="shared" si="22"/>
        <v>6880</v>
      </c>
      <c r="BS36" s="13">
        <f t="shared" si="23"/>
        <v>0.77477477477477474</v>
      </c>
      <c r="BU36" s="16"/>
      <c r="BV36" s="15" t="s">
        <v>5</v>
      </c>
      <c r="BW36" s="12">
        <v>2</v>
      </c>
      <c r="BX36" s="14">
        <v>5180</v>
      </c>
      <c r="BY36" s="12">
        <f t="shared" si="24"/>
        <v>-2</v>
      </c>
      <c r="BZ36" s="14">
        <f t="shared" si="25"/>
        <v>-10580</v>
      </c>
      <c r="CA36" s="13">
        <f t="shared" si="26"/>
        <v>-0.67131979695431476</v>
      </c>
      <c r="CC36" s="16"/>
      <c r="CD36" s="15" t="s">
        <v>5</v>
      </c>
      <c r="CE36" s="12">
        <v>0</v>
      </c>
      <c r="CF36" s="14">
        <v>0</v>
      </c>
      <c r="CG36" s="12">
        <f t="shared" si="27"/>
        <v>-2</v>
      </c>
      <c r="CH36" s="14">
        <f t="shared" si="28"/>
        <v>-5180</v>
      </c>
      <c r="CI36" s="13">
        <f t="shared" si="29"/>
        <v>-1</v>
      </c>
      <c r="CK36" s="16"/>
      <c r="CL36" s="15" t="s">
        <v>5</v>
      </c>
      <c r="CM36" s="12">
        <v>6</v>
      </c>
      <c r="CN36" s="14">
        <v>34540</v>
      </c>
      <c r="CO36" s="12">
        <f t="shared" si="30"/>
        <v>6</v>
      </c>
      <c r="CP36" s="14">
        <f t="shared" si="31"/>
        <v>34540</v>
      </c>
      <c r="CQ36" s="13" t="e">
        <f t="shared" si="32"/>
        <v>#DIV/0!</v>
      </c>
      <c r="CS36" s="16"/>
      <c r="CT36" s="15" t="s">
        <v>5</v>
      </c>
      <c r="CU36" s="12">
        <v>3</v>
      </c>
      <c r="CV36" s="14">
        <v>8970</v>
      </c>
      <c r="CW36" s="12">
        <f t="shared" si="33"/>
        <v>-3</v>
      </c>
      <c r="CX36" s="14">
        <f t="shared" si="34"/>
        <v>-25570</v>
      </c>
      <c r="CY36" s="13">
        <f t="shared" si="35"/>
        <v>-0.74030110017371165</v>
      </c>
    </row>
    <row r="37" spans="1:103" s="12" customFormat="1" ht="20" customHeight="1">
      <c r="A37" s="16"/>
      <c r="B37" s="15" t="s">
        <v>4</v>
      </c>
      <c r="C37" s="12">
        <v>11</v>
      </c>
      <c r="D37" s="14">
        <v>350764.76190474001</v>
      </c>
      <c r="E37" s="12" t="e">
        <f>C37-#REF!</f>
        <v>#REF!</v>
      </c>
      <c r="F37" s="14" t="e">
        <f>D37-#REF!</f>
        <v>#REF!</v>
      </c>
      <c r="G37" s="13" t="e">
        <f>(D37-#REF!)/#REF!</f>
        <v>#REF!</v>
      </c>
      <c r="I37" s="16"/>
      <c r="J37" s="15" t="s">
        <v>4</v>
      </c>
      <c r="K37" s="12">
        <v>3</v>
      </c>
      <c r="L37" s="14">
        <v>88285.714285709997</v>
      </c>
      <c r="M37" s="12">
        <f t="shared" si="42"/>
        <v>-8</v>
      </c>
      <c r="N37" s="14">
        <f t="shared" si="43"/>
        <v>-262479.04761903</v>
      </c>
      <c r="O37" s="13">
        <f t="shared" si="44"/>
        <v>-0.7483050640369443</v>
      </c>
      <c r="Q37" s="16"/>
      <c r="R37" s="15" t="s">
        <v>4</v>
      </c>
      <c r="S37" s="12">
        <v>4</v>
      </c>
      <c r="T37" s="14">
        <v>138666.66666665999</v>
      </c>
      <c r="U37" s="12">
        <f t="shared" si="3"/>
        <v>1</v>
      </c>
      <c r="V37" s="14">
        <f t="shared" si="4"/>
        <v>50380.952380949995</v>
      </c>
      <c r="W37" s="13">
        <f t="shared" si="5"/>
        <v>0.57065803667745485</v>
      </c>
      <c r="Y37" s="16"/>
      <c r="Z37" s="15" t="s">
        <v>4</v>
      </c>
      <c r="AA37" s="12">
        <v>2</v>
      </c>
      <c r="AB37" s="14">
        <v>100330.47619047</v>
      </c>
      <c r="AC37" s="12">
        <f t="shared" si="6"/>
        <v>-2</v>
      </c>
      <c r="AD37" s="14">
        <f t="shared" si="7"/>
        <v>-38336.190476189993</v>
      </c>
      <c r="AE37" s="13">
        <f t="shared" si="8"/>
        <v>-0.2764629120879219</v>
      </c>
      <c r="AG37" s="16"/>
      <c r="AH37" s="15" t="s">
        <v>4</v>
      </c>
      <c r="AI37" s="12">
        <v>5</v>
      </c>
      <c r="AJ37" s="14">
        <v>157551.42857140998</v>
      </c>
      <c r="AK37" s="12">
        <f t="shared" si="9"/>
        <v>3</v>
      </c>
      <c r="AL37" s="14">
        <f t="shared" si="10"/>
        <v>57220.952380939983</v>
      </c>
      <c r="AM37" s="13">
        <f t="shared" si="11"/>
        <v>0.57032473634741088</v>
      </c>
      <c r="AO37" s="16"/>
      <c r="AP37" s="15" t="s">
        <v>4</v>
      </c>
      <c r="AQ37" s="12">
        <v>2</v>
      </c>
      <c r="AR37" s="14">
        <v>68025.714285709997</v>
      </c>
      <c r="AS37" s="12">
        <f t="shared" si="12"/>
        <v>-3</v>
      </c>
      <c r="AT37" s="14">
        <f t="shared" si="13"/>
        <v>-89525.714285699985</v>
      </c>
      <c r="AU37" s="13">
        <f t="shared" si="14"/>
        <v>-0.56823168851891792</v>
      </c>
      <c r="AW37" s="16"/>
      <c r="AX37" s="15" t="s">
        <v>4</v>
      </c>
      <c r="AY37" s="12">
        <v>10</v>
      </c>
      <c r="AZ37" s="14">
        <v>304162.85714283003</v>
      </c>
      <c r="BA37" s="12">
        <f t="shared" si="15"/>
        <v>8</v>
      </c>
      <c r="BB37" s="14">
        <f t="shared" si="16"/>
        <v>236137.14285712002</v>
      </c>
      <c r="BC37" s="13">
        <f t="shared" si="17"/>
        <v>3.4712923684319885</v>
      </c>
      <c r="BE37" s="16"/>
      <c r="BF37" s="15" t="s">
        <v>4</v>
      </c>
      <c r="BG37" s="12">
        <v>30</v>
      </c>
      <c r="BH37" s="14">
        <v>815744.76190469018</v>
      </c>
      <c r="BI37" s="12">
        <f t="shared" si="18"/>
        <v>20</v>
      </c>
      <c r="BJ37" s="14">
        <f t="shared" si="19"/>
        <v>511581.90476186015</v>
      </c>
      <c r="BK37" s="13">
        <f t="shared" si="20"/>
        <v>1.6819341768664062</v>
      </c>
      <c r="BL37" s="17"/>
      <c r="BM37" s="16"/>
      <c r="BN37" s="15" t="s">
        <v>4</v>
      </c>
      <c r="BO37" s="12">
        <v>12</v>
      </c>
      <c r="BP37" s="14">
        <v>304329.52380949003</v>
      </c>
      <c r="BQ37" s="12">
        <f t="shared" si="21"/>
        <v>-18</v>
      </c>
      <c r="BR37" s="14">
        <f t="shared" si="22"/>
        <v>-511415.23809520015</v>
      </c>
      <c r="BS37" s="13">
        <f t="shared" si="23"/>
        <v>-0.62693045910719902</v>
      </c>
      <c r="BU37" s="16"/>
      <c r="BV37" s="15" t="s">
        <v>4</v>
      </c>
      <c r="BW37" s="12">
        <v>2</v>
      </c>
      <c r="BX37" s="14">
        <v>86952.380952380001</v>
      </c>
      <c r="BY37" s="12">
        <f t="shared" si="24"/>
        <v>-10</v>
      </c>
      <c r="BZ37" s="14">
        <f t="shared" si="25"/>
        <v>-217377.14285711001</v>
      </c>
      <c r="CA37" s="13">
        <f t="shared" si="26"/>
        <v>-0.71428213778295091</v>
      </c>
      <c r="CC37" s="16"/>
      <c r="CD37" s="15" t="s">
        <v>4</v>
      </c>
      <c r="CE37" s="12">
        <v>3</v>
      </c>
      <c r="CF37" s="14">
        <v>117607.61904761</v>
      </c>
      <c r="CG37" s="12">
        <f t="shared" si="27"/>
        <v>1</v>
      </c>
      <c r="CH37" s="14">
        <f t="shared" si="28"/>
        <v>30655.238095230001</v>
      </c>
      <c r="CI37" s="13">
        <f t="shared" si="29"/>
        <v>0.35255202628687682</v>
      </c>
      <c r="CK37" s="16"/>
      <c r="CL37" s="15" t="s">
        <v>4</v>
      </c>
      <c r="CM37" s="12">
        <v>1</v>
      </c>
      <c r="CN37" s="14">
        <v>37111.428571420001</v>
      </c>
      <c r="CO37" s="12">
        <f t="shared" si="30"/>
        <v>-2</v>
      </c>
      <c r="CP37" s="14">
        <f t="shared" si="31"/>
        <v>-80496.190476190008</v>
      </c>
      <c r="CQ37" s="13">
        <f t="shared" si="32"/>
        <v>-0.68444707178030262</v>
      </c>
      <c r="CS37" s="16"/>
      <c r="CT37" s="15" t="s">
        <v>4</v>
      </c>
      <c r="CU37" s="12">
        <v>2</v>
      </c>
      <c r="CV37" s="14">
        <v>92266.666666659992</v>
      </c>
      <c r="CW37" s="12">
        <f t="shared" si="33"/>
        <v>1</v>
      </c>
      <c r="CX37" s="14">
        <f t="shared" si="34"/>
        <v>55155.238095239991</v>
      </c>
      <c r="CY37" s="13">
        <f t="shared" si="35"/>
        <v>1.4862062771066638</v>
      </c>
    </row>
    <row r="38" spans="1:103" s="12" customFormat="1" ht="20" customHeight="1">
      <c r="A38" s="16"/>
      <c r="B38" s="15" t="s">
        <v>3</v>
      </c>
      <c r="C38" s="12">
        <v>10</v>
      </c>
      <c r="D38" s="14">
        <v>180333.33333330997</v>
      </c>
      <c r="E38" s="12" t="e">
        <f>C38-#REF!</f>
        <v>#REF!</v>
      </c>
      <c r="F38" s="14" t="e">
        <f>D38-#REF!</f>
        <v>#REF!</v>
      </c>
      <c r="G38" s="13" t="e">
        <f>(D38-#REF!)/#REF!</f>
        <v>#REF!</v>
      </c>
      <c r="I38" s="16"/>
      <c r="J38" s="15" t="s">
        <v>3</v>
      </c>
      <c r="K38" s="12">
        <v>13</v>
      </c>
      <c r="L38" s="14">
        <v>208761.90476186998</v>
      </c>
      <c r="M38" s="12">
        <f t="shared" si="42"/>
        <v>3</v>
      </c>
      <c r="N38" s="14">
        <f t="shared" si="43"/>
        <v>28428.571428560012</v>
      </c>
      <c r="O38" s="13">
        <f t="shared" si="44"/>
        <v>0.15764457354101863</v>
      </c>
      <c r="Q38" s="16"/>
      <c r="R38" s="15" t="s">
        <v>3</v>
      </c>
      <c r="S38" s="12">
        <v>10</v>
      </c>
      <c r="T38" s="14">
        <v>167142.85714283001</v>
      </c>
      <c r="U38" s="12">
        <f t="shared" si="3"/>
        <v>-3</v>
      </c>
      <c r="V38" s="14">
        <f t="shared" si="4"/>
        <v>-41619.047619039979</v>
      </c>
      <c r="W38" s="13">
        <f t="shared" si="5"/>
        <v>-0.19936131386860975</v>
      </c>
      <c r="Y38" s="16"/>
      <c r="Z38" s="15" t="s">
        <v>3</v>
      </c>
      <c r="AA38" s="12">
        <v>8</v>
      </c>
      <c r="AB38" s="14">
        <v>144952.38095234998</v>
      </c>
      <c r="AC38" s="12">
        <f t="shared" si="6"/>
        <v>-2</v>
      </c>
      <c r="AD38" s="14">
        <f t="shared" si="7"/>
        <v>-22190.476190480025</v>
      </c>
      <c r="AE38" s="13">
        <f t="shared" si="8"/>
        <v>-0.13276353276357727</v>
      </c>
      <c r="AG38" s="16"/>
      <c r="AH38" s="15" t="s">
        <v>3</v>
      </c>
      <c r="AI38" s="12">
        <v>14</v>
      </c>
      <c r="AJ38" s="14">
        <v>246857.14285708999</v>
      </c>
      <c r="AK38" s="12">
        <f t="shared" si="9"/>
        <v>6</v>
      </c>
      <c r="AL38" s="14">
        <f t="shared" si="10"/>
        <v>101904.76190474001</v>
      </c>
      <c r="AM38" s="13">
        <f t="shared" si="11"/>
        <v>0.70302233902759437</v>
      </c>
      <c r="AO38" s="16"/>
      <c r="AP38" s="15" t="s">
        <v>3</v>
      </c>
      <c r="AQ38" s="12">
        <v>18</v>
      </c>
      <c r="AR38" s="14">
        <v>311904.76190470997</v>
      </c>
      <c r="AS38" s="12">
        <f t="shared" si="12"/>
        <v>4</v>
      </c>
      <c r="AT38" s="14">
        <f t="shared" si="13"/>
        <v>65047.619047619984</v>
      </c>
      <c r="AU38" s="13">
        <f t="shared" si="14"/>
        <v>0.26350308641981329</v>
      </c>
      <c r="AW38" s="16"/>
      <c r="AX38" s="15" t="s">
        <v>3</v>
      </c>
      <c r="AY38" s="12">
        <v>20</v>
      </c>
      <c r="AZ38" s="14">
        <v>365528.57142848999</v>
      </c>
      <c r="BA38" s="12">
        <f t="shared" si="15"/>
        <v>2</v>
      </c>
      <c r="BB38" s="14">
        <f t="shared" si="16"/>
        <v>53623.809523780015</v>
      </c>
      <c r="BC38" s="13">
        <f t="shared" si="17"/>
        <v>0.17192366412207141</v>
      </c>
      <c r="BE38" s="16"/>
      <c r="BF38" s="15" t="s">
        <v>3</v>
      </c>
      <c r="BG38" s="12">
        <v>18</v>
      </c>
      <c r="BH38" s="14">
        <v>276076.19047613</v>
      </c>
      <c r="BI38" s="12">
        <f t="shared" si="18"/>
        <v>-2</v>
      </c>
      <c r="BJ38" s="14">
        <f t="shared" si="19"/>
        <v>-89452.380952359992</v>
      </c>
      <c r="BK38" s="13">
        <f t="shared" si="20"/>
        <v>-0.24472062635973715</v>
      </c>
      <c r="BL38" s="17"/>
      <c r="BM38" s="16"/>
      <c r="BN38" s="15" t="s">
        <v>3</v>
      </c>
      <c r="BO38" s="12">
        <v>12</v>
      </c>
      <c r="BP38" s="14">
        <v>233571.4285714</v>
      </c>
      <c r="BQ38" s="12">
        <f t="shared" si="21"/>
        <v>-6</v>
      </c>
      <c r="BR38" s="14">
        <f t="shared" si="22"/>
        <v>-42504.761904729996</v>
      </c>
      <c r="BS38" s="13">
        <f t="shared" si="23"/>
        <v>-0.15396025941760821</v>
      </c>
      <c r="BU38" s="16"/>
      <c r="BV38" s="15" t="s">
        <v>3</v>
      </c>
      <c r="BW38" s="12">
        <v>9</v>
      </c>
      <c r="BX38" s="14">
        <v>140857.14285711999</v>
      </c>
      <c r="BY38" s="12">
        <f t="shared" si="24"/>
        <v>-3</v>
      </c>
      <c r="BZ38" s="14">
        <f t="shared" si="25"/>
        <v>-92714.285714280006</v>
      </c>
      <c r="CA38" s="13">
        <f t="shared" si="26"/>
        <v>-0.39694189602448893</v>
      </c>
      <c r="CC38" s="16"/>
      <c r="CD38" s="15" t="s">
        <v>3</v>
      </c>
      <c r="CE38" s="12">
        <v>8</v>
      </c>
      <c r="CF38" s="14">
        <v>166752.38095237</v>
      </c>
      <c r="CG38" s="12">
        <f t="shared" si="27"/>
        <v>-1</v>
      </c>
      <c r="CH38" s="14">
        <f t="shared" si="28"/>
        <v>25895.23809525001</v>
      </c>
      <c r="CI38" s="13">
        <f t="shared" si="29"/>
        <v>0.18384043272492848</v>
      </c>
      <c r="CK38" s="16"/>
      <c r="CL38" s="15" t="s">
        <v>3</v>
      </c>
      <c r="CM38" s="12">
        <v>13</v>
      </c>
      <c r="CN38" s="14">
        <v>217619.04761900997</v>
      </c>
      <c r="CO38" s="12">
        <f t="shared" si="30"/>
        <v>5</v>
      </c>
      <c r="CP38" s="14">
        <f t="shared" si="31"/>
        <v>50866.666666639969</v>
      </c>
      <c r="CQ38" s="13">
        <f t="shared" si="32"/>
        <v>0.30504312068065265</v>
      </c>
      <c r="CS38" s="16"/>
      <c r="CT38" s="15" t="s">
        <v>3</v>
      </c>
      <c r="CU38" s="12">
        <v>13</v>
      </c>
      <c r="CV38" s="14">
        <v>225285.71428567002</v>
      </c>
      <c r="CW38" s="12">
        <f t="shared" si="33"/>
        <v>0</v>
      </c>
      <c r="CX38" s="14">
        <f t="shared" si="34"/>
        <v>7666.6666666600504</v>
      </c>
      <c r="CY38" s="13">
        <f t="shared" si="35"/>
        <v>3.5229759299756871E-2</v>
      </c>
    </row>
    <row r="39" spans="1:103" s="12" customFormat="1" ht="20" customHeight="1">
      <c r="A39" s="16"/>
      <c r="B39" s="15" t="s">
        <v>2</v>
      </c>
      <c r="C39" s="12">
        <v>12</v>
      </c>
      <c r="D39" s="14">
        <v>377828.57142851996</v>
      </c>
      <c r="E39" s="12" t="e">
        <f>C39-#REF!</f>
        <v>#REF!</v>
      </c>
      <c r="F39" s="14" t="e">
        <f>D39-#REF!</f>
        <v>#REF!</v>
      </c>
      <c r="G39" s="13" t="e">
        <f>(D39-#REF!)/#REF!</f>
        <v>#REF!</v>
      </c>
      <c r="I39" s="16"/>
      <c r="J39" s="15" t="s">
        <v>2</v>
      </c>
      <c r="K39" s="12">
        <v>7</v>
      </c>
      <c r="L39" s="14">
        <v>201885.71428567998</v>
      </c>
      <c r="M39" s="12">
        <f t="shared" si="42"/>
        <v>-5</v>
      </c>
      <c r="N39" s="14">
        <f t="shared" si="43"/>
        <v>-175942.85714283999</v>
      </c>
      <c r="O39" s="13">
        <f t="shared" si="44"/>
        <v>-0.46566848154871737</v>
      </c>
      <c r="Q39" s="16"/>
      <c r="R39" s="15" t="s">
        <v>2</v>
      </c>
      <c r="S39" s="12">
        <v>14</v>
      </c>
      <c r="T39" s="14">
        <v>433047.61904756998</v>
      </c>
      <c r="U39" s="12">
        <f t="shared" si="3"/>
        <v>7</v>
      </c>
      <c r="V39" s="14">
        <f t="shared" si="4"/>
        <v>231161.90476189001</v>
      </c>
      <c r="W39" s="13">
        <f t="shared" si="5"/>
        <v>1.1450136805360212</v>
      </c>
      <c r="Y39" s="16"/>
      <c r="Z39" s="15" t="s">
        <v>2</v>
      </c>
      <c r="AA39" s="12">
        <v>5</v>
      </c>
      <c r="AB39" s="14">
        <v>171428.57142856001</v>
      </c>
      <c r="AC39" s="12">
        <f t="shared" si="6"/>
        <v>-9</v>
      </c>
      <c r="AD39" s="14">
        <f t="shared" si="7"/>
        <v>-261619.04761900997</v>
      </c>
      <c r="AE39" s="13">
        <f t="shared" si="8"/>
        <v>-0.60413459423794058</v>
      </c>
      <c r="AG39" s="16"/>
      <c r="AH39" s="15" t="s">
        <v>2</v>
      </c>
      <c r="AI39" s="12">
        <v>7</v>
      </c>
      <c r="AJ39" s="14">
        <v>252666.66666665001</v>
      </c>
      <c r="AK39" s="12">
        <f t="shared" si="9"/>
        <v>2</v>
      </c>
      <c r="AL39" s="14">
        <f t="shared" si="10"/>
        <v>81238.095238089998</v>
      </c>
      <c r="AM39" s="13">
        <f t="shared" si="11"/>
        <v>0.47388888888888986</v>
      </c>
      <c r="AO39" s="16"/>
      <c r="AP39" s="15" t="s">
        <v>2</v>
      </c>
      <c r="AQ39" s="12">
        <v>12</v>
      </c>
      <c r="AR39" s="14">
        <v>391999.99999995995</v>
      </c>
      <c r="AS39" s="12">
        <f t="shared" si="12"/>
        <v>5</v>
      </c>
      <c r="AT39" s="14">
        <f t="shared" si="13"/>
        <v>139333.33333330994</v>
      </c>
      <c r="AU39" s="13">
        <f t="shared" si="14"/>
        <v>0.55145118733503617</v>
      </c>
      <c r="AW39" s="16"/>
      <c r="AX39" s="15" t="s">
        <v>2</v>
      </c>
      <c r="AY39" s="12">
        <v>16</v>
      </c>
      <c r="AZ39" s="14">
        <v>404952.38095234998</v>
      </c>
      <c r="BA39" s="12">
        <f t="shared" si="15"/>
        <v>4</v>
      </c>
      <c r="BB39" s="14">
        <f t="shared" si="16"/>
        <v>12952.380952390027</v>
      </c>
      <c r="BC39" s="13">
        <f t="shared" si="17"/>
        <v>3.3041788143855486E-2</v>
      </c>
      <c r="BE39" s="16"/>
      <c r="BF39" s="15" t="s">
        <v>2</v>
      </c>
      <c r="BG39" s="12">
        <v>9</v>
      </c>
      <c r="BH39" s="14">
        <v>198238.09523808002</v>
      </c>
      <c r="BI39" s="12">
        <f t="shared" si="18"/>
        <v>-7</v>
      </c>
      <c r="BJ39" s="14">
        <f t="shared" si="19"/>
        <v>-206714.28571426996</v>
      </c>
      <c r="BK39" s="13">
        <f t="shared" si="20"/>
        <v>-0.51046566321730968</v>
      </c>
      <c r="BL39" s="17"/>
      <c r="BM39" s="16"/>
      <c r="BN39" s="15" t="s">
        <v>2</v>
      </c>
      <c r="BO39" s="12">
        <v>6</v>
      </c>
      <c r="BP39" s="14">
        <v>142647.61904761</v>
      </c>
      <c r="BQ39" s="12">
        <f t="shared" si="21"/>
        <v>-3</v>
      </c>
      <c r="BR39" s="14">
        <f t="shared" si="22"/>
        <v>-55590.476190470014</v>
      </c>
      <c r="BS39" s="13">
        <f t="shared" si="23"/>
        <v>-0.28042277203938504</v>
      </c>
      <c r="BU39" s="16"/>
      <c r="BV39" s="15" t="s">
        <v>2</v>
      </c>
      <c r="BW39" s="12">
        <v>11</v>
      </c>
      <c r="BX39" s="14">
        <v>269440.95238092996</v>
      </c>
      <c r="BY39" s="12">
        <f t="shared" si="24"/>
        <v>5</v>
      </c>
      <c r="BZ39" s="14">
        <f t="shared" si="25"/>
        <v>126793.33333331996</v>
      </c>
      <c r="CA39" s="13">
        <f t="shared" si="26"/>
        <v>0.88885699025233278</v>
      </c>
      <c r="CC39" s="16"/>
      <c r="CD39" s="15" t="s">
        <v>2</v>
      </c>
      <c r="CE39" s="12">
        <v>8</v>
      </c>
      <c r="CF39" s="14">
        <v>199428.57142856001</v>
      </c>
      <c r="CG39" s="12">
        <f t="shared" si="27"/>
        <v>-3</v>
      </c>
      <c r="CH39" s="14">
        <f t="shared" si="28"/>
        <v>-70012.380952369946</v>
      </c>
      <c r="CI39" s="13">
        <f t="shared" si="29"/>
        <v>-0.25984313198755293</v>
      </c>
      <c r="CK39" s="16"/>
      <c r="CL39" s="15" t="s">
        <v>2</v>
      </c>
      <c r="CM39" s="12">
        <v>102</v>
      </c>
      <c r="CN39" s="14">
        <v>3745992.3809522702</v>
      </c>
      <c r="CO39" s="12">
        <f t="shared" si="30"/>
        <v>94</v>
      </c>
      <c r="CP39" s="14">
        <f t="shared" si="31"/>
        <v>3546563.80952371</v>
      </c>
      <c r="CQ39" s="13">
        <f t="shared" si="32"/>
        <v>17.783629417383519</v>
      </c>
      <c r="CS39" s="16"/>
      <c r="CT39" s="15" t="s">
        <v>2</v>
      </c>
      <c r="CU39" s="12">
        <v>97</v>
      </c>
      <c r="CV39" s="14">
        <v>3358857.14285703</v>
      </c>
      <c r="CW39" s="12">
        <f t="shared" si="33"/>
        <v>-5</v>
      </c>
      <c r="CX39" s="14">
        <f t="shared" si="34"/>
        <v>-387135.2380952402</v>
      </c>
      <c r="CY39" s="13">
        <f t="shared" si="35"/>
        <v>-0.10334650974298736</v>
      </c>
    </row>
    <row r="40" spans="1:103" s="2" customFormat="1" ht="20" customHeight="1">
      <c r="A40" s="11" t="s">
        <v>12</v>
      </c>
      <c r="B40" s="11"/>
      <c r="C40" s="10">
        <v>205</v>
      </c>
      <c r="D40" s="9">
        <v>1286399.9999994801</v>
      </c>
      <c r="E40" s="10" t="e">
        <f>C40-#REF!</f>
        <v>#REF!</v>
      </c>
      <c r="F40" s="9" t="e">
        <f>D40-#REF!</f>
        <v>#REF!</v>
      </c>
      <c r="G40" s="8" t="e">
        <f>(D40-#REF!)/#REF!</f>
        <v>#REF!</v>
      </c>
      <c r="I40" s="11" t="s">
        <v>12</v>
      </c>
      <c r="J40" s="11"/>
      <c r="K40" s="10">
        <v>209</v>
      </c>
      <c r="L40" s="9">
        <v>890699.52380888991</v>
      </c>
      <c r="M40" s="10">
        <f t="shared" si="42"/>
        <v>4</v>
      </c>
      <c r="N40" s="9">
        <f t="shared" si="43"/>
        <v>-395700.47619059018</v>
      </c>
      <c r="O40" s="8">
        <f t="shared" si="44"/>
        <v>-0.30760298211345627</v>
      </c>
      <c r="Q40" s="11" t="s">
        <v>12</v>
      </c>
      <c r="R40" s="11"/>
      <c r="S40" s="10">
        <v>228</v>
      </c>
      <c r="T40" s="9">
        <v>1292873.80952323</v>
      </c>
      <c r="U40" s="10">
        <f t="shared" si="3"/>
        <v>19</v>
      </c>
      <c r="V40" s="9">
        <f t="shared" si="4"/>
        <v>402174.28571434005</v>
      </c>
      <c r="W40" s="8">
        <f t="shared" si="5"/>
        <v>0.4515263284238954</v>
      </c>
      <c r="Y40" s="11" t="s">
        <v>12</v>
      </c>
      <c r="Z40" s="11"/>
      <c r="AA40" s="10">
        <v>215</v>
      </c>
      <c r="AB40" s="9">
        <v>879679.52380902995</v>
      </c>
      <c r="AC40" s="10">
        <f t="shared" si="6"/>
        <v>-13</v>
      </c>
      <c r="AD40" s="9">
        <f t="shared" si="7"/>
        <v>-413194.2857142</v>
      </c>
      <c r="AE40" s="8">
        <f t="shared" si="8"/>
        <v>-0.31959367006326217</v>
      </c>
      <c r="AG40" s="11" t="s">
        <v>12</v>
      </c>
      <c r="AH40" s="11"/>
      <c r="AI40" s="10">
        <v>212</v>
      </c>
      <c r="AJ40" s="9">
        <v>1011739.52380901</v>
      </c>
      <c r="AK40" s="10">
        <f t="shared" si="9"/>
        <v>-3</v>
      </c>
      <c r="AL40" s="9">
        <f t="shared" si="10"/>
        <v>132059.99999998009</v>
      </c>
      <c r="AM40" s="8">
        <f t="shared" si="11"/>
        <v>0.15012285318198343</v>
      </c>
      <c r="AO40" s="11" t="s">
        <v>12</v>
      </c>
      <c r="AP40" s="11"/>
      <c r="AQ40" s="10">
        <v>254</v>
      </c>
      <c r="AR40" s="9">
        <v>1207773.8095232199</v>
      </c>
      <c r="AS40" s="10">
        <f t="shared" si="12"/>
        <v>42</v>
      </c>
      <c r="AT40" s="9">
        <f t="shared" si="13"/>
        <v>196034.28571420989</v>
      </c>
      <c r="AU40" s="8">
        <f t="shared" si="14"/>
        <v>0.19375963980944175</v>
      </c>
      <c r="AW40" s="11" t="s">
        <v>12</v>
      </c>
      <c r="AX40" s="11"/>
      <c r="AY40" s="10">
        <v>288</v>
      </c>
      <c r="AZ40" s="9">
        <v>1604615.23809451</v>
      </c>
      <c r="BA40" s="10">
        <f t="shared" si="15"/>
        <v>34</v>
      </c>
      <c r="BB40" s="9">
        <f t="shared" si="16"/>
        <v>396841.4285712901</v>
      </c>
      <c r="BC40" s="8">
        <f t="shared" si="17"/>
        <v>0.32857263954742238</v>
      </c>
      <c r="BE40" s="11" t="s">
        <v>12</v>
      </c>
      <c r="BF40" s="11"/>
      <c r="BG40" s="10">
        <v>442</v>
      </c>
      <c r="BH40" s="9">
        <v>1807564.76190397</v>
      </c>
      <c r="BI40" s="10">
        <f t="shared" si="18"/>
        <v>154</v>
      </c>
      <c r="BJ40" s="9">
        <f t="shared" si="19"/>
        <v>202949.52380945999</v>
      </c>
      <c r="BK40" s="8">
        <f t="shared" si="20"/>
        <v>0.12647862178503536</v>
      </c>
      <c r="BL40" s="7"/>
      <c r="BM40" s="11" t="s">
        <v>12</v>
      </c>
      <c r="BN40" s="11"/>
      <c r="BO40" s="10">
        <v>289</v>
      </c>
      <c r="BP40" s="9">
        <v>1061475.2380946202</v>
      </c>
      <c r="BQ40" s="10">
        <f t="shared" si="21"/>
        <v>-153</v>
      </c>
      <c r="BR40" s="9">
        <f t="shared" si="22"/>
        <v>-746089.52380934986</v>
      </c>
      <c r="BS40" s="8">
        <f t="shared" si="23"/>
        <v>-0.41275949804612705</v>
      </c>
      <c r="BU40" s="11" t="s">
        <v>12</v>
      </c>
      <c r="BV40" s="11"/>
      <c r="BW40" s="10">
        <v>209</v>
      </c>
      <c r="BX40" s="9">
        <v>800484.76190422988</v>
      </c>
      <c r="BY40" s="10">
        <f t="shared" si="24"/>
        <v>-80</v>
      </c>
      <c r="BZ40" s="9">
        <f t="shared" si="25"/>
        <v>-260990.4761903903</v>
      </c>
      <c r="CA40" s="8">
        <f t="shared" si="26"/>
        <v>-0.24587523742793663</v>
      </c>
      <c r="CC40" s="11" t="s">
        <v>12</v>
      </c>
      <c r="CD40" s="11"/>
      <c r="CE40" s="10">
        <v>158</v>
      </c>
      <c r="CF40" s="9">
        <v>706444.76190438005</v>
      </c>
      <c r="CG40" s="10">
        <f t="shared" si="27"/>
        <v>-51</v>
      </c>
      <c r="CH40" s="9">
        <f t="shared" si="28"/>
        <v>-94039.999999849824</v>
      </c>
      <c r="CI40" s="8">
        <f t="shared" si="29"/>
        <v>-0.11747881343317912</v>
      </c>
      <c r="CK40" s="11" t="s">
        <v>12</v>
      </c>
      <c r="CL40" s="11"/>
      <c r="CM40" s="10">
        <v>398</v>
      </c>
      <c r="CN40" s="9">
        <v>4670900.9523799503</v>
      </c>
      <c r="CO40" s="10">
        <f t="shared" si="30"/>
        <v>240</v>
      </c>
      <c r="CP40" s="9">
        <f t="shared" si="31"/>
        <v>3964456.19047557</v>
      </c>
      <c r="CQ40" s="8">
        <f t="shared" si="32"/>
        <v>5.6118417238858003</v>
      </c>
      <c r="CS40" s="11" t="s">
        <v>12</v>
      </c>
      <c r="CT40" s="11"/>
      <c r="CU40" s="10">
        <v>448</v>
      </c>
      <c r="CV40" s="9">
        <v>4622760.4761894606</v>
      </c>
      <c r="CW40" s="10">
        <f t="shared" si="33"/>
        <v>50</v>
      </c>
      <c r="CX40" s="9">
        <f t="shared" si="34"/>
        <v>-48140.476190489717</v>
      </c>
      <c r="CY40" s="8">
        <f t="shared" si="35"/>
        <v>-1.0306464787261405E-2</v>
      </c>
    </row>
    <row r="41" spans="1:103" s="2" customFormat="1" ht="20" customHeight="1">
      <c r="A41" s="37">
        <v>81</v>
      </c>
      <c r="B41" s="31" t="s">
        <v>32</v>
      </c>
      <c r="C41" s="2">
        <v>1378</v>
      </c>
      <c r="D41" s="34"/>
      <c r="F41" s="34"/>
      <c r="G41" s="7"/>
      <c r="I41" s="37">
        <v>81</v>
      </c>
      <c r="J41" s="31" t="s">
        <v>32</v>
      </c>
      <c r="K41" s="2">
        <v>1406</v>
      </c>
      <c r="L41" s="34"/>
      <c r="M41" s="12">
        <f t="shared" si="42"/>
        <v>28</v>
      </c>
      <c r="N41" s="14">
        <f t="shared" si="43"/>
        <v>0</v>
      </c>
      <c r="O41" s="13" t="e">
        <f t="shared" si="44"/>
        <v>#DIV/0!</v>
      </c>
      <c r="Q41" s="37">
        <v>81</v>
      </c>
      <c r="R41" s="31" t="s">
        <v>32</v>
      </c>
      <c r="S41" s="2">
        <v>1527</v>
      </c>
      <c r="T41" s="34"/>
      <c r="U41" s="12">
        <f t="shared" si="3"/>
        <v>121</v>
      </c>
      <c r="V41" s="14">
        <f t="shared" si="4"/>
        <v>0</v>
      </c>
      <c r="W41" s="13" t="e">
        <f t="shared" si="5"/>
        <v>#DIV/0!</v>
      </c>
      <c r="Y41" s="37">
        <v>81</v>
      </c>
      <c r="Z41" s="31" t="s">
        <v>32</v>
      </c>
      <c r="AA41" s="2">
        <v>1468</v>
      </c>
      <c r="AB41" s="34"/>
      <c r="AC41" s="12">
        <f t="shared" si="6"/>
        <v>-59</v>
      </c>
      <c r="AD41" s="14">
        <f t="shared" si="7"/>
        <v>0</v>
      </c>
      <c r="AE41" s="13" t="e">
        <f t="shared" si="8"/>
        <v>#DIV/0!</v>
      </c>
      <c r="AG41" s="37">
        <v>81</v>
      </c>
      <c r="AH41" s="31" t="s">
        <v>32</v>
      </c>
      <c r="AI41" s="2">
        <v>1466</v>
      </c>
      <c r="AJ41" s="34"/>
      <c r="AK41" s="12">
        <f t="shared" si="9"/>
        <v>-2</v>
      </c>
      <c r="AL41" s="14">
        <f t="shared" si="10"/>
        <v>0</v>
      </c>
      <c r="AM41" s="13" t="e">
        <f t="shared" si="11"/>
        <v>#DIV/0!</v>
      </c>
      <c r="AO41" s="37">
        <v>81</v>
      </c>
      <c r="AP41" s="31" t="s">
        <v>32</v>
      </c>
      <c r="AQ41" s="2">
        <v>1647</v>
      </c>
      <c r="AR41" s="34"/>
      <c r="AS41" s="12">
        <f t="shared" si="12"/>
        <v>181</v>
      </c>
      <c r="AT41" s="14">
        <f t="shared" si="13"/>
        <v>0</v>
      </c>
      <c r="AU41" s="13" t="e">
        <f t="shared" si="14"/>
        <v>#DIV/0!</v>
      </c>
      <c r="AW41" s="37">
        <v>81</v>
      </c>
      <c r="AX41" s="31" t="s">
        <v>32</v>
      </c>
      <c r="AY41" s="2">
        <v>1444</v>
      </c>
      <c r="AZ41" s="34"/>
      <c r="BA41" s="12">
        <f t="shared" si="15"/>
        <v>-203</v>
      </c>
      <c r="BB41" s="14">
        <f t="shared" si="16"/>
        <v>0</v>
      </c>
      <c r="BC41" s="13" t="e">
        <f t="shared" si="17"/>
        <v>#DIV/0!</v>
      </c>
      <c r="BE41" s="37">
        <v>81</v>
      </c>
      <c r="BF41" s="31" t="s">
        <v>32</v>
      </c>
      <c r="BG41" s="2">
        <v>1546</v>
      </c>
      <c r="BH41" s="34"/>
      <c r="BI41" s="12">
        <f t="shared" si="18"/>
        <v>102</v>
      </c>
      <c r="BJ41" s="14">
        <f t="shared" si="19"/>
        <v>0</v>
      </c>
      <c r="BK41" s="13" t="e">
        <f t="shared" si="20"/>
        <v>#DIV/0!</v>
      </c>
      <c r="BL41" s="7"/>
      <c r="BM41" s="37">
        <v>81</v>
      </c>
      <c r="BN41" s="31" t="s">
        <v>32</v>
      </c>
      <c r="BO41" s="2">
        <v>1614</v>
      </c>
      <c r="BP41" s="34"/>
      <c r="BQ41" s="12">
        <f t="shared" si="21"/>
        <v>68</v>
      </c>
      <c r="BR41" s="14">
        <f t="shared" si="22"/>
        <v>0</v>
      </c>
      <c r="BS41" s="13" t="e">
        <f t="shared" si="23"/>
        <v>#DIV/0!</v>
      </c>
      <c r="BU41" s="37">
        <v>81</v>
      </c>
      <c r="BV41" s="31" t="s">
        <v>32</v>
      </c>
      <c r="BW41" s="2">
        <v>1298</v>
      </c>
      <c r="BX41" s="34"/>
      <c r="BY41" s="12">
        <f t="shared" si="24"/>
        <v>-316</v>
      </c>
      <c r="BZ41" s="14">
        <f t="shared" si="25"/>
        <v>0</v>
      </c>
      <c r="CA41" s="13" t="e">
        <f t="shared" si="26"/>
        <v>#DIV/0!</v>
      </c>
      <c r="CC41" s="37">
        <v>81</v>
      </c>
      <c r="CD41" s="31" t="s">
        <v>32</v>
      </c>
      <c r="CE41" s="2">
        <v>2190</v>
      </c>
      <c r="CF41" s="34"/>
      <c r="CG41" s="12">
        <f t="shared" si="27"/>
        <v>892</v>
      </c>
      <c r="CH41" s="14">
        <f t="shared" si="28"/>
        <v>0</v>
      </c>
      <c r="CI41" s="13" t="e">
        <f t="shared" si="29"/>
        <v>#DIV/0!</v>
      </c>
      <c r="CK41" s="37">
        <v>81</v>
      </c>
      <c r="CL41" s="31" t="s">
        <v>32</v>
      </c>
      <c r="CM41" s="2">
        <v>4476</v>
      </c>
      <c r="CN41" s="34"/>
      <c r="CO41" s="12">
        <f t="shared" si="30"/>
        <v>2286</v>
      </c>
      <c r="CP41" s="14">
        <f t="shared" si="31"/>
        <v>0</v>
      </c>
      <c r="CQ41" s="13" t="e">
        <f t="shared" si="32"/>
        <v>#DIV/0!</v>
      </c>
      <c r="CS41" s="37">
        <v>81</v>
      </c>
      <c r="CT41" s="31" t="s">
        <v>32</v>
      </c>
      <c r="CU41" s="2">
        <v>5267</v>
      </c>
      <c r="CV41" s="34"/>
      <c r="CW41" s="12">
        <f t="shared" si="33"/>
        <v>791</v>
      </c>
      <c r="CX41" s="14">
        <f t="shared" si="34"/>
        <v>0</v>
      </c>
      <c r="CY41" s="13" t="e">
        <f t="shared" si="35"/>
        <v>#DIV/0!</v>
      </c>
    </row>
    <row r="42" spans="1:103" s="2" customFormat="1" ht="20" customHeight="1">
      <c r="A42" s="37"/>
      <c r="B42" s="31" t="s">
        <v>33</v>
      </c>
      <c r="C42" s="2">
        <v>1</v>
      </c>
      <c r="D42" s="34"/>
      <c r="F42" s="34"/>
      <c r="G42" s="7"/>
      <c r="I42" s="37"/>
      <c r="J42" s="31" t="s">
        <v>33</v>
      </c>
      <c r="K42" s="2">
        <v>2</v>
      </c>
      <c r="L42" s="34"/>
      <c r="M42" s="12">
        <f t="shared" si="42"/>
        <v>1</v>
      </c>
      <c r="N42" s="14">
        <f t="shared" si="43"/>
        <v>0</v>
      </c>
      <c r="O42" s="13" t="e">
        <f t="shared" si="44"/>
        <v>#DIV/0!</v>
      </c>
      <c r="Q42" s="37"/>
      <c r="R42" s="31" t="s">
        <v>33</v>
      </c>
      <c r="S42" s="2">
        <v>3</v>
      </c>
      <c r="T42" s="34"/>
      <c r="U42" s="12">
        <f t="shared" si="3"/>
        <v>1</v>
      </c>
      <c r="V42" s="14">
        <f t="shared" si="4"/>
        <v>0</v>
      </c>
      <c r="W42" s="13" t="e">
        <f t="shared" si="5"/>
        <v>#DIV/0!</v>
      </c>
      <c r="Y42" s="37"/>
      <c r="Z42" s="31" t="s">
        <v>33</v>
      </c>
      <c r="AA42" s="2">
        <v>0</v>
      </c>
      <c r="AB42" s="34"/>
      <c r="AC42" s="12">
        <f t="shared" si="6"/>
        <v>-3</v>
      </c>
      <c r="AD42" s="14">
        <f t="shared" si="7"/>
        <v>0</v>
      </c>
      <c r="AE42" s="13" t="e">
        <f t="shared" si="8"/>
        <v>#DIV/0!</v>
      </c>
      <c r="AG42" s="37"/>
      <c r="AH42" s="31" t="s">
        <v>33</v>
      </c>
      <c r="AI42" s="2">
        <v>2</v>
      </c>
      <c r="AJ42" s="34"/>
      <c r="AK42" s="12">
        <f t="shared" si="9"/>
        <v>2</v>
      </c>
      <c r="AL42" s="14">
        <f t="shared" si="10"/>
        <v>0</v>
      </c>
      <c r="AM42" s="13" t="e">
        <f t="shared" si="11"/>
        <v>#DIV/0!</v>
      </c>
      <c r="AO42" s="37"/>
      <c r="AP42" s="31" t="s">
        <v>33</v>
      </c>
      <c r="AQ42" s="2">
        <v>2</v>
      </c>
      <c r="AR42" s="34"/>
      <c r="AS42" s="12">
        <f t="shared" si="12"/>
        <v>0</v>
      </c>
      <c r="AT42" s="14">
        <f t="shared" si="13"/>
        <v>0</v>
      </c>
      <c r="AU42" s="13" t="e">
        <f t="shared" si="14"/>
        <v>#DIV/0!</v>
      </c>
      <c r="AW42" s="37"/>
      <c r="AX42" s="31" t="s">
        <v>33</v>
      </c>
      <c r="AY42" s="2">
        <v>5</v>
      </c>
      <c r="AZ42" s="34"/>
      <c r="BA42" s="12">
        <f t="shared" si="15"/>
        <v>3</v>
      </c>
      <c r="BB42" s="14">
        <f t="shared" si="16"/>
        <v>0</v>
      </c>
      <c r="BC42" s="13" t="e">
        <f t="shared" si="17"/>
        <v>#DIV/0!</v>
      </c>
      <c r="BE42" s="37"/>
      <c r="BF42" s="31" t="s">
        <v>33</v>
      </c>
      <c r="BG42" s="2">
        <v>1</v>
      </c>
      <c r="BH42" s="34"/>
      <c r="BI42" s="12">
        <f t="shared" si="18"/>
        <v>-4</v>
      </c>
      <c r="BJ42" s="14">
        <f t="shared" si="19"/>
        <v>0</v>
      </c>
      <c r="BK42" s="13" t="e">
        <f t="shared" si="20"/>
        <v>#DIV/0!</v>
      </c>
      <c r="BL42" s="7"/>
      <c r="BM42" s="37"/>
      <c r="BN42" s="31" t="s">
        <v>33</v>
      </c>
      <c r="BO42" s="2">
        <v>1</v>
      </c>
      <c r="BP42" s="34"/>
      <c r="BQ42" s="12">
        <f t="shared" si="21"/>
        <v>0</v>
      </c>
      <c r="BR42" s="14">
        <f t="shared" si="22"/>
        <v>0</v>
      </c>
      <c r="BS42" s="13" t="e">
        <f t="shared" si="23"/>
        <v>#DIV/0!</v>
      </c>
      <c r="BU42" s="37"/>
      <c r="BV42" s="31" t="s">
        <v>33</v>
      </c>
      <c r="BW42" s="2">
        <v>1</v>
      </c>
      <c r="BX42" s="34"/>
      <c r="BY42" s="12">
        <f t="shared" si="24"/>
        <v>0</v>
      </c>
      <c r="BZ42" s="14">
        <f t="shared" si="25"/>
        <v>0</v>
      </c>
      <c r="CA42" s="13" t="e">
        <f t="shared" si="26"/>
        <v>#DIV/0!</v>
      </c>
      <c r="CC42" s="37"/>
      <c r="CD42" s="31" t="s">
        <v>33</v>
      </c>
      <c r="CE42" s="2">
        <v>1</v>
      </c>
      <c r="CF42" s="34"/>
      <c r="CG42" s="12">
        <f t="shared" si="27"/>
        <v>0</v>
      </c>
      <c r="CH42" s="14">
        <f t="shared" si="28"/>
        <v>0</v>
      </c>
      <c r="CI42" s="13" t="e">
        <f t="shared" si="29"/>
        <v>#DIV/0!</v>
      </c>
      <c r="CK42" s="37"/>
      <c r="CL42" s="31" t="s">
        <v>33</v>
      </c>
      <c r="CM42" s="2">
        <v>12</v>
      </c>
      <c r="CN42" s="34"/>
      <c r="CO42" s="12">
        <f t="shared" si="30"/>
        <v>11</v>
      </c>
      <c r="CP42" s="14">
        <f t="shared" si="31"/>
        <v>0</v>
      </c>
      <c r="CQ42" s="13" t="e">
        <f t="shared" si="32"/>
        <v>#DIV/0!</v>
      </c>
      <c r="CS42" s="37"/>
      <c r="CT42" s="31" t="s">
        <v>33</v>
      </c>
      <c r="CU42" s="2">
        <v>16</v>
      </c>
      <c r="CV42" s="34"/>
      <c r="CW42" s="12">
        <f t="shared" si="33"/>
        <v>4</v>
      </c>
      <c r="CX42" s="14">
        <f t="shared" si="34"/>
        <v>0</v>
      </c>
      <c r="CY42" s="13" t="e">
        <f t="shared" si="35"/>
        <v>#DIV/0!</v>
      </c>
    </row>
    <row r="43" spans="1:103" s="12" customFormat="1" ht="20" customHeight="1">
      <c r="A43" s="37"/>
      <c r="B43" s="15" t="s">
        <v>10</v>
      </c>
      <c r="C43" s="12">
        <v>87</v>
      </c>
      <c r="D43" s="14">
        <v>87620.952380629999</v>
      </c>
      <c r="E43" s="12" t="e">
        <f>C43-#REF!</f>
        <v>#REF!</v>
      </c>
      <c r="F43" s="14" t="e">
        <f>D43-#REF!</f>
        <v>#REF!</v>
      </c>
      <c r="G43" s="13" t="e">
        <f>(D43-#REF!)/#REF!</f>
        <v>#REF!</v>
      </c>
      <c r="I43" s="37"/>
      <c r="J43" s="15" t="s">
        <v>10</v>
      </c>
      <c r="K43" s="12">
        <v>74</v>
      </c>
      <c r="L43" s="14">
        <v>69593.333333019982</v>
      </c>
      <c r="M43" s="12">
        <f t="shared" si="42"/>
        <v>-13</v>
      </c>
      <c r="N43" s="14">
        <f t="shared" si="43"/>
        <v>-18027.619047610016</v>
      </c>
      <c r="O43" s="13">
        <f t="shared" si="44"/>
        <v>-0.2057455272718002</v>
      </c>
      <c r="Q43" s="37"/>
      <c r="R43" s="15" t="s">
        <v>10</v>
      </c>
      <c r="S43" s="12">
        <v>69</v>
      </c>
      <c r="T43" s="14">
        <v>70049.52380924001</v>
      </c>
      <c r="U43" s="12">
        <f t="shared" si="3"/>
        <v>-5</v>
      </c>
      <c r="V43" s="14">
        <f t="shared" si="4"/>
        <v>456.19047622002836</v>
      </c>
      <c r="W43" s="13">
        <f t="shared" si="5"/>
        <v>6.5550887473237243E-3</v>
      </c>
      <c r="Y43" s="37"/>
      <c r="Z43" s="15" t="s">
        <v>10</v>
      </c>
      <c r="AA43" s="12">
        <v>73</v>
      </c>
      <c r="AB43" s="14">
        <v>74227.619047329979</v>
      </c>
      <c r="AC43" s="12">
        <f t="shared" si="6"/>
        <v>4</v>
      </c>
      <c r="AD43" s="14">
        <f t="shared" si="7"/>
        <v>4178.0952380899689</v>
      </c>
      <c r="AE43" s="13">
        <f t="shared" si="8"/>
        <v>5.9644877093923222E-2</v>
      </c>
      <c r="AG43" s="37"/>
      <c r="AH43" s="15" t="s">
        <v>10</v>
      </c>
      <c r="AI43" s="12">
        <v>60</v>
      </c>
      <c r="AJ43" s="14">
        <v>60807.619047370019</v>
      </c>
      <c r="AK43" s="12">
        <f t="shared" si="9"/>
        <v>-13</v>
      </c>
      <c r="AL43" s="14">
        <f t="shared" si="10"/>
        <v>-13419.99999995996</v>
      </c>
      <c r="AM43" s="13">
        <f t="shared" si="11"/>
        <v>-0.18079523730113081</v>
      </c>
      <c r="AO43" s="37"/>
      <c r="AP43" s="15" t="s">
        <v>10</v>
      </c>
      <c r="AQ43" s="12">
        <v>83</v>
      </c>
      <c r="AR43" s="14">
        <v>90464.761904429921</v>
      </c>
      <c r="AS43" s="12">
        <f t="shared" si="12"/>
        <v>23</v>
      </c>
      <c r="AT43" s="14">
        <f t="shared" si="13"/>
        <v>29657.142857059902</v>
      </c>
      <c r="AU43" s="13">
        <f t="shared" si="14"/>
        <v>0.48772083698847929</v>
      </c>
      <c r="AW43" s="37"/>
      <c r="AX43" s="15" t="s">
        <v>10</v>
      </c>
      <c r="AY43" s="12">
        <v>71</v>
      </c>
      <c r="AZ43" s="14">
        <v>59872.380952070023</v>
      </c>
      <c r="BA43" s="12">
        <f t="shared" si="15"/>
        <v>-12</v>
      </c>
      <c r="BB43" s="14">
        <f t="shared" si="16"/>
        <v>-30592.380952359897</v>
      </c>
      <c r="BC43" s="13">
        <f t="shared" si="17"/>
        <v>-0.33816903187871911</v>
      </c>
      <c r="BE43" s="37"/>
      <c r="BF43" s="15" t="s">
        <v>10</v>
      </c>
      <c r="BG43" s="12">
        <v>63</v>
      </c>
      <c r="BH43" s="14">
        <v>60759.999999760017</v>
      </c>
      <c r="BI43" s="12">
        <f t="shared" si="18"/>
        <v>-8</v>
      </c>
      <c r="BJ43" s="14">
        <f t="shared" si="19"/>
        <v>887.61904768999375</v>
      </c>
      <c r="BK43" s="13">
        <f t="shared" si="20"/>
        <v>1.4825183725373548E-2</v>
      </c>
      <c r="BL43" s="17"/>
      <c r="BM43" s="37"/>
      <c r="BN43" s="15" t="s">
        <v>10</v>
      </c>
      <c r="BO43" s="12">
        <v>84</v>
      </c>
      <c r="BP43" s="14">
        <v>76903.809523479998</v>
      </c>
      <c r="BQ43" s="12">
        <f t="shared" si="21"/>
        <v>21</v>
      </c>
      <c r="BR43" s="14">
        <f t="shared" si="22"/>
        <v>16143.809523719981</v>
      </c>
      <c r="BS43" s="13">
        <f t="shared" si="23"/>
        <v>0.26569798426240526</v>
      </c>
      <c r="BU43" s="37"/>
      <c r="BV43" s="15" t="s">
        <v>10</v>
      </c>
      <c r="BW43" s="12">
        <v>57</v>
      </c>
      <c r="BX43" s="14">
        <v>57357.14285692</v>
      </c>
      <c r="BY43" s="12">
        <f t="shared" si="24"/>
        <v>-27</v>
      </c>
      <c r="BZ43" s="14">
        <f t="shared" si="25"/>
        <v>-19546.666666559999</v>
      </c>
      <c r="CA43" s="13">
        <f t="shared" si="26"/>
        <v>-0.25417033028243002</v>
      </c>
      <c r="CC43" s="37"/>
      <c r="CD43" s="15" t="s">
        <v>10</v>
      </c>
      <c r="CE43" s="12">
        <v>76</v>
      </c>
      <c r="CF43" s="14">
        <v>73709.523809260005</v>
      </c>
      <c r="CG43" s="12">
        <f t="shared" si="27"/>
        <v>19</v>
      </c>
      <c r="CH43" s="14">
        <f t="shared" si="28"/>
        <v>16352.380952340005</v>
      </c>
      <c r="CI43" s="13">
        <f t="shared" si="29"/>
        <v>0.28509755085136934</v>
      </c>
      <c r="CK43" s="37"/>
      <c r="CL43" s="15" t="s">
        <v>10</v>
      </c>
      <c r="CM43" s="12">
        <v>128</v>
      </c>
      <c r="CN43" s="14">
        <v>115089.52380914996</v>
      </c>
      <c r="CO43" s="12">
        <f t="shared" si="30"/>
        <v>52</v>
      </c>
      <c r="CP43" s="14">
        <f t="shared" si="31"/>
        <v>41379.999999889958</v>
      </c>
      <c r="CQ43" s="13">
        <f t="shared" si="32"/>
        <v>0.56139285483610002</v>
      </c>
      <c r="CS43" s="37"/>
      <c r="CT43" s="15" t="s">
        <v>10</v>
      </c>
      <c r="CU43" s="12">
        <v>261</v>
      </c>
      <c r="CV43" s="14">
        <v>226376.19047547993</v>
      </c>
      <c r="CW43" s="12">
        <f t="shared" si="33"/>
        <v>133</v>
      </c>
      <c r="CX43" s="14">
        <f t="shared" si="34"/>
        <v>111286.66666632997</v>
      </c>
      <c r="CY43" s="13">
        <f t="shared" si="35"/>
        <v>0.96695739962286942</v>
      </c>
    </row>
    <row r="44" spans="1:103" s="12" customFormat="1" ht="20" customHeight="1">
      <c r="A44" s="37"/>
      <c r="B44" s="15" t="s">
        <v>9</v>
      </c>
      <c r="C44" s="12">
        <v>62</v>
      </c>
      <c r="D44" s="14">
        <v>65904.761904670013</v>
      </c>
      <c r="E44" s="12" t="e">
        <f>C44-#REF!</f>
        <v>#REF!</v>
      </c>
      <c r="F44" s="14" t="e">
        <f>D44-#REF!</f>
        <v>#REF!</v>
      </c>
      <c r="G44" s="13" t="e">
        <f>(D44-#REF!)/#REF!</f>
        <v>#REF!</v>
      </c>
      <c r="I44" s="37"/>
      <c r="J44" s="15" t="s">
        <v>9</v>
      </c>
      <c r="K44" s="12">
        <v>69</v>
      </c>
      <c r="L44" s="14">
        <v>95839.047618969984</v>
      </c>
      <c r="M44" s="12">
        <f t="shared" si="42"/>
        <v>7</v>
      </c>
      <c r="N44" s="14">
        <f t="shared" si="43"/>
        <v>29934.285714299971</v>
      </c>
      <c r="O44" s="13">
        <f t="shared" si="44"/>
        <v>0.45420520231298833</v>
      </c>
      <c r="Q44" s="37"/>
      <c r="R44" s="15" t="s">
        <v>9</v>
      </c>
      <c r="S44" s="12">
        <v>95</v>
      </c>
      <c r="T44" s="14">
        <v>98552.380952279986</v>
      </c>
      <c r="U44" s="12">
        <f t="shared" si="3"/>
        <v>26</v>
      </c>
      <c r="V44" s="14">
        <f t="shared" si="4"/>
        <v>2713.3333333100018</v>
      </c>
      <c r="W44" s="13">
        <f t="shared" si="5"/>
        <v>2.831135534753515E-2</v>
      </c>
      <c r="Y44" s="37"/>
      <c r="Z44" s="15" t="s">
        <v>9</v>
      </c>
      <c r="AA44" s="12">
        <v>74</v>
      </c>
      <c r="AB44" s="14">
        <v>74011.428571309996</v>
      </c>
      <c r="AC44" s="12">
        <f t="shared" si="6"/>
        <v>-21</v>
      </c>
      <c r="AD44" s="14">
        <f t="shared" si="7"/>
        <v>-24540.952380969989</v>
      </c>
      <c r="AE44" s="13">
        <f t="shared" si="8"/>
        <v>-0.24901430228106772</v>
      </c>
      <c r="AG44" s="37"/>
      <c r="AH44" s="15" t="s">
        <v>9</v>
      </c>
      <c r="AI44" s="12">
        <v>56</v>
      </c>
      <c r="AJ44" s="14">
        <v>51868.571428500007</v>
      </c>
      <c r="AK44" s="12">
        <f t="shared" si="9"/>
        <v>-18</v>
      </c>
      <c r="AL44" s="14">
        <f t="shared" si="10"/>
        <v>-22142.857142809989</v>
      </c>
      <c r="AM44" s="13">
        <f t="shared" si="11"/>
        <v>-0.29918159357612389</v>
      </c>
      <c r="AO44" s="37"/>
      <c r="AP44" s="15" t="s">
        <v>9</v>
      </c>
      <c r="AQ44" s="12">
        <v>83</v>
      </c>
      <c r="AR44" s="14">
        <v>74981.904761769998</v>
      </c>
      <c r="AS44" s="12">
        <f t="shared" si="12"/>
        <v>27</v>
      </c>
      <c r="AT44" s="14">
        <f t="shared" si="13"/>
        <v>23113.333333269991</v>
      </c>
      <c r="AU44" s="13">
        <f t="shared" si="14"/>
        <v>0.44561345525259649</v>
      </c>
      <c r="AW44" s="37"/>
      <c r="AX44" s="15" t="s">
        <v>9</v>
      </c>
      <c r="AY44" s="12">
        <v>54</v>
      </c>
      <c r="AZ44" s="14">
        <v>62466.666666550009</v>
      </c>
      <c r="BA44" s="12">
        <f t="shared" si="15"/>
        <v>-29</v>
      </c>
      <c r="BB44" s="14">
        <f t="shared" si="16"/>
        <v>-12515.238095219989</v>
      </c>
      <c r="BC44" s="13">
        <f t="shared" si="17"/>
        <v>-0.16691011164604294</v>
      </c>
      <c r="BE44" s="37"/>
      <c r="BF44" s="15" t="s">
        <v>9</v>
      </c>
      <c r="BG44" s="12">
        <v>58</v>
      </c>
      <c r="BH44" s="14">
        <v>61742.857142770015</v>
      </c>
      <c r="BI44" s="12">
        <f t="shared" si="18"/>
        <v>4</v>
      </c>
      <c r="BJ44" s="14">
        <f t="shared" si="19"/>
        <v>-723.80952377999347</v>
      </c>
      <c r="BK44" s="13">
        <f t="shared" si="20"/>
        <v>-1.1587132184333167E-2</v>
      </c>
      <c r="BL44" s="17"/>
      <c r="BM44" s="37"/>
      <c r="BN44" s="15" t="s">
        <v>9</v>
      </c>
      <c r="BO44" s="12">
        <v>83</v>
      </c>
      <c r="BP44" s="14">
        <v>81195.238095149994</v>
      </c>
      <c r="BQ44" s="12">
        <f t="shared" si="21"/>
        <v>25</v>
      </c>
      <c r="BR44" s="14">
        <f t="shared" si="22"/>
        <v>19452.380952379979</v>
      </c>
      <c r="BS44" s="13">
        <f t="shared" si="23"/>
        <v>0.31505475859984267</v>
      </c>
      <c r="BU44" s="37"/>
      <c r="BV44" s="15" t="s">
        <v>9</v>
      </c>
      <c r="BW44" s="12">
        <v>72</v>
      </c>
      <c r="BX44" s="14">
        <v>96848.571428449985</v>
      </c>
      <c r="BY44" s="12">
        <f t="shared" si="24"/>
        <v>-11</v>
      </c>
      <c r="BZ44" s="14">
        <f t="shared" si="25"/>
        <v>15653.33333329999</v>
      </c>
      <c r="CA44" s="13">
        <f t="shared" si="26"/>
        <v>0.19278634684162599</v>
      </c>
      <c r="CC44" s="37"/>
      <c r="CD44" s="15" t="s">
        <v>9</v>
      </c>
      <c r="CE44" s="12">
        <v>73</v>
      </c>
      <c r="CF44" s="14">
        <v>81267.619047530025</v>
      </c>
      <c r="CG44" s="12">
        <f t="shared" si="27"/>
        <v>1</v>
      </c>
      <c r="CH44" s="14">
        <f t="shared" si="28"/>
        <v>-15580.95238091996</v>
      </c>
      <c r="CI44" s="13">
        <f t="shared" si="29"/>
        <v>-0.16087952719499732</v>
      </c>
      <c r="CK44" s="37"/>
      <c r="CL44" s="15" t="s">
        <v>9</v>
      </c>
      <c r="CM44" s="12">
        <v>104</v>
      </c>
      <c r="CN44" s="14">
        <v>94680.952380839997</v>
      </c>
      <c r="CO44" s="12">
        <f t="shared" si="30"/>
        <v>31</v>
      </c>
      <c r="CP44" s="14">
        <f t="shared" si="31"/>
        <v>13413.333333309973</v>
      </c>
      <c r="CQ44" s="13">
        <f t="shared" si="32"/>
        <v>0.16505138812378736</v>
      </c>
      <c r="CS44" s="37"/>
      <c r="CT44" s="15" t="s">
        <v>9</v>
      </c>
      <c r="CU44" s="12">
        <v>103</v>
      </c>
      <c r="CV44" s="14">
        <v>110659.0476189</v>
      </c>
      <c r="CW44" s="12">
        <f t="shared" si="33"/>
        <v>-1</v>
      </c>
      <c r="CX44" s="14">
        <f t="shared" si="34"/>
        <v>15978.095238060007</v>
      </c>
      <c r="CY44" s="13">
        <f t="shared" si="35"/>
        <v>0.16875722979412483</v>
      </c>
    </row>
    <row r="45" spans="1:103" s="12" customFormat="1" ht="20" customHeight="1">
      <c r="A45" s="16"/>
      <c r="B45" s="15" t="s">
        <v>8</v>
      </c>
      <c r="C45" s="12">
        <v>6</v>
      </c>
      <c r="D45" s="14">
        <v>41371.428571420001</v>
      </c>
      <c r="E45" s="12" t="e">
        <f>C45-#REF!</f>
        <v>#REF!</v>
      </c>
      <c r="F45" s="14" t="e">
        <f>D45-#REF!</f>
        <v>#REF!</v>
      </c>
      <c r="G45" s="13" t="e">
        <f>(D45-#REF!)/#REF!</f>
        <v>#REF!</v>
      </c>
      <c r="I45" s="16"/>
      <c r="J45" s="15" t="s">
        <v>8</v>
      </c>
      <c r="K45" s="12">
        <v>7</v>
      </c>
      <c r="L45" s="14">
        <v>45647.619047610002</v>
      </c>
      <c r="M45" s="12">
        <f t="shared" si="42"/>
        <v>1</v>
      </c>
      <c r="N45" s="14">
        <f t="shared" si="43"/>
        <v>4276.1904761900005</v>
      </c>
      <c r="O45" s="13">
        <f t="shared" si="44"/>
        <v>0.10336095764273551</v>
      </c>
      <c r="Q45" s="16"/>
      <c r="R45" s="15" t="s">
        <v>8</v>
      </c>
      <c r="S45" s="12">
        <v>6</v>
      </c>
      <c r="T45" s="14">
        <v>32799.999999990003</v>
      </c>
      <c r="U45" s="12">
        <f t="shared" si="3"/>
        <v>-1</v>
      </c>
      <c r="V45" s="14">
        <f t="shared" si="4"/>
        <v>-12847.619047619999</v>
      </c>
      <c r="W45" s="13">
        <f t="shared" si="5"/>
        <v>-0.28145211767168105</v>
      </c>
      <c r="Y45" s="16"/>
      <c r="Z45" s="15" t="s">
        <v>8</v>
      </c>
      <c r="AA45" s="12">
        <v>6</v>
      </c>
      <c r="AB45" s="14">
        <v>33942.857142840003</v>
      </c>
      <c r="AC45" s="12">
        <f t="shared" si="6"/>
        <v>0</v>
      </c>
      <c r="AD45" s="14">
        <f t="shared" si="7"/>
        <v>1142.8571428499999</v>
      </c>
      <c r="AE45" s="13">
        <f t="shared" si="8"/>
        <v>3.4843205574705743E-2</v>
      </c>
      <c r="AG45" s="16"/>
      <c r="AH45" s="15" t="s">
        <v>8</v>
      </c>
      <c r="AI45" s="12">
        <v>11</v>
      </c>
      <c r="AJ45" s="14">
        <v>95323.809523789998</v>
      </c>
      <c r="AK45" s="12">
        <f t="shared" si="9"/>
        <v>5</v>
      </c>
      <c r="AL45" s="14">
        <f t="shared" si="10"/>
        <v>61380.952380949995</v>
      </c>
      <c r="AM45" s="13">
        <f t="shared" si="11"/>
        <v>1.8083613916955679</v>
      </c>
      <c r="AO45" s="16"/>
      <c r="AP45" s="15" t="s">
        <v>8</v>
      </c>
      <c r="AQ45" s="12">
        <v>10</v>
      </c>
      <c r="AR45" s="14">
        <v>57047.619047610002</v>
      </c>
      <c r="AS45" s="12">
        <f t="shared" si="12"/>
        <v>-1</v>
      </c>
      <c r="AT45" s="14">
        <f t="shared" si="13"/>
        <v>-38276.190476179996</v>
      </c>
      <c r="AU45" s="13">
        <f t="shared" si="14"/>
        <v>-0.40153861524625067</v>
      </c>
      <c r="AW45" s="16"/>
      <c r="AX45" s="15" t="s">
        <v>8</v>
      </c>
      <c r="AY45" s="12">
        <v>12</v>
      </c>
      <c r="AZ45" s="14">
        <v>65599.999999990003</v>
      </c>
      <c r="BA45" s="12">
        <f t="shared" si="15"/>
        <v>2</v>
      </c>
      <c r="BB45" s="14">
        <f t="shared" si="16"/>
        <v>8552.380952380001</v>
      </c>
      <c r="BC45" s="13">
        <f t="shared" si="17"/>
        <v>0.14991652754591694</v>
      </c>
      <c r="BE45" s="16"/>
      <c r="BF45" s="15" t="s">
        <v>8</v>
      </c>
      <c r="BG45" s="12">
        <v>11</v>
      </c>
      <c r="BH45" s="14">
        <v>71799.999999990003</v>
      </c>
      <c r="BI45" s="12">
        <f t="shared" si="18"/>
        <v>-1</v>
      </c>
      <c r="BJ45" s="14">
        <f t="shared" si="19"/>
        <v>6200</v>
      </c>
      <c r="BK45" s="13">
        <f t="shared" si="20"/>
        <v>9.4512195121965625E-2</v>
      </c>
      <c r="BL45" s="17"/>
      <c r="BM45" s="16"/>
      <c r="BN45" s="15" t="s">
        <v>8</v>
      </c>
      <c r="BO45" s="12">
        <v>16</v>
      </c>
      <c r="BP45" s="14">
        <v>92491.428571410012</v>
      </c>
      <c r="BQ45" s="12">
        <f t="shared" si="21"/>
        <v>5</v>
      </c>
      <c r="BR45" s="14">
        <f t="shared" si="22"/>
        <v>20691.428571420009</v>
      </c>
      <c r="BS45" s="13">
        <f t="shared" si="23"/>
        <v>0.28818145642650267</v>
      </c>
      <c r="BU45" s="16"/>
      <c r="BV45" s="15" t="s">
        <v>8</v>
      </c>
      <c r="BW45" s="12">
        <v>12</v>
      </c>
      <c r="BX45" s="14">
        <v>90361.904761889993</v>
      </c>
      <c r="BY45" s="12">
        <f t="shared" si="24"/>
        <v>-4</v>
      </c>
      <c r="BZ45" s="14">
        <f t="shared" si="25"/>
        <v>-2129.5238095200184</v>
      </c>
      <c r="CA45" s="13">
        <f t="shared" si="26"/>
        <v>-2.3024012521072407E-2</v>
      </c>
      <c r="CC45" s="16"/>
      <c r="CD45" s="15" t="s">
        <v>8</v>
      </c>
      <c r="CE45" s="12">
        <v>10</v>
      </c>
      <c r="CF45" s="14">
        <v>68666.666666649995</v>
      </c>
      <c r="CG45" s="12">
        <f t="shared" si="27"/>
        <v>-2</v>
      </c>
      <c r="CH45" s="14">
        <f t="shared" si="28"/>
        <v>-21695.238095239998</v>
      </c>
      <c r="CI45" s="13">
        <f t="shared" si="29"/>
        <v>-0.24009274873530481</v>
      </c>
      <c r="CK45" s="16"/>
      <c r="CL45" s="15" t="s">
        <v>8</v>
      </c>
      <c r="CM45" s="12">
        <v>9</v>
      </c>
      <c r="CN45" s="14">
        <v>72199.999999980006</v>
      </c>
      <c r="CO45" s="12">
        <f t="shared" si="30"/>
        <v>-1</v>
      </c>
      <c r="CP45" s="14">
        <f t="shared" si="31"/>
        <v>3533.3333333300106</v>
      </c>
      <c r="CQ45" s="13">
        <f t="shared" si="32"/>
        <v>5.1456310679575755E-2</v>
      </c>
      <c r="CS45" s="16"/>
      <c r="CT45" s="15" t="s">
        <v>8</v>
      </c>
      <c r="CU45" s="12">
        <v>10</v>
      </c>
      <c r="CV45" s="14">
        <v>53047.619047600005</v>
      </c>
      <c r="CW45" s="12">
        <f t="shared" si="33"/>
        <v>1</v>
      </c>
      <c r="CX45" s="14">
        <f t="shared" si="34"/>
        <v>-19152.380952380001</v>
      </c>
      <c r="CY45" s="13">
        <f t="shared" si="35"/>
        <v>-0.26526843424356378</v>
      </c>
    </row>
    <row r="46" spans="1:103" s="12" customFormat="1" ht="20" customHeight="1">
      <c r="A46" s="16"/>
      <c r="B46" s="15" t="s">
        <v>7</v>
      </c>
      <c r="C46" s="12">
        <v>10</v>
      </c>
      <c r="D46" s="14">
        <v>124095.23809520999</v>
      </c>
      <c r="E46" s="12" t="e">
        <f>C46-#REF!</f>
        <v>#REF!</v>
      </c>
      <c r="F46" s="14" t="e">
        <f>D46-#REF!</f>
        <v>#REF!</v>
      </c>
      <c r="G46" s="13" t="e">
        <f>(D46-#REF!)/#REF!</f>
        <v>#REF!</v>
      </c>
      <c r="I46" s="16"/>
      <c r="J46" s="15" t="s">
        <v>7</v>
      </c>
      <c r="K46" s="12">
        <v>6</v>
      </c>
      <c r="L46" s="14">
        <v>74666.66666665001</v>
      </c>
      <c r="M46" s="12">
        <f t="shared" si="42"/>
        <v>-4</v>
      </c>
      <c r="N46" s="14">
        <f t="shared" si="43"/>
        <v>-49428.571428559982</v>
      </c>
      <c r="O46" s="13">
        <f t="shared" si="44"/>
        <v>-0.39831158864159427</v>
      </c>
      <c r="Q46" s="16"/>
      <c r="R46" s="15" t="s">
        <v>7</v>
      </c>
      <c r="S46" s="12">
        <v>7</v>
      </c>
      <c r="T46" s="14">
        <v>93238.095238080001</v>
      </c>
      <c r="U46" s="12">
        <f t="shared" si="3"/>
        <v>1</v>
      </c>
      <c r="V46" s="14">
        <f t="shared" si="4"/>
        <v>18571.428571429991</v>
      </c>
      <c r="W46" s="13">
        <f t="shared" si="5"/>
        <v>0.24872448979599288</v>
      </c>
      <c r="Y46" s="16"/>
      <c r="Z46" s="15" t="s">
        <v>7</v>
      </c>
      <c r="AA46" s="12">
        <v>5</v>
      </c>
      <c r="AB46" s="14">
        <v>56476.190476169999</v>
      </c>
      <c r="AC46" s="12">
        <f t="shared" si="6"/>
        <v>-2</v>
      </c>
      <c r="AD46" s="14">
        <f t="shared" si="7"/>
        <v>-36761.904761910002</v>
      </c>
      <c r="AE46" s="13">
        <f t="shared" si="8"/>
        <v>-0.39427987742606546</v>
      </c>
      <c r="AG46" s="16"/>
      <c r="AH46" s="15" t="s">
        <v>7</v>
      </c>
      <c r="AI46" s="12">
        <v>11</v>
      </c>
      <c r="AJ46" s="14">
        <v>121428.57142854002</v>
      </c>
      <c r="AK46" s="12">
        <f t="shared" si="9"/>
        <v>6</v>
      </c>
      <c r="AL46" s="14">
        <f t="shared" si="10"/>
        <v>64952.380952370018</v>
      </c>
      <c r="AM46" s="13">
        <f t="shared" si="11"/>
        <v>1.1500843170322639</v>
      </c>
      <c r="AO46" s="16"/>
      <c r="AP46" s="15" t="s">
        <v>7</v>
      </c>
      <c r="AQ46" s="12">
        <v>10</v>
      </c>
      <c r="AR46" s="14">
        <v>103619.04761901</v>
      </c>
      <c r="AS46" s="12">
        <f t="shared" si="12"/>
        <v>-1</v>
      </c>
      <c r="AT46" s="14">
        <f t="shared" si="13"/>
        <v>-17809.523809530016</v>
      </c>
      <c r="AU46" s="13">
        <f t="shared" si="14"/>
        <v>-0.14666666666675571</v>
      </c>
      <c r="AW46" s="16"/>
      <c r="AX46" s="15" t="s">
        <v>7</v>
      </c>
      <c r="AY46" s="12">
        <v>6</v>
      </c>
      <c r="AZ46" s="14">
        <v>72380.952380930001</v>
      </c>
      <c r="BA46" s="12">
        <f t="shared" si="15"/>
        <v>-4</v>
      </c>
      <c r="BB46" s="14">
        <f t="shared" si="16"/>
        <v>-31238.095238080001</v>
      </c>
      <c r="BC46" s="13">
        <f t="shared" si="17"/>
        <v>-0.30147058823525652</v>
      </c>
      <c r="BE46" s="16"/>
      <c r="BF46" s="15" t="s">
        <v>7</v>
      </c>
      <c r="BG46" s="12">
        <v>0</v>
      </c>
      <c r="BH46" s="14">
        <v>0</v>
      </c>
      <c r="BI46" s="12">
        <f t="shared" si="18"/>
        <v>-6</v>
      </c>
      <c r="BJ46" s="14">
        <f t="shared" si="19"/>
        <v>-72380.952380930001</v>
      </c>
      <c r="BK46" s="13">
        <f t="shared" si="20"/>
        <v>-1</v>
      </c>
      <c r="BL46" s="17"/>
      <c r="BM46" s="16"/>
      <c r="BN46" s="15" t="s">
        <v>7</v>
      </c>
      <c r="BO46" s="12">
        <v>3</v>
      </c>
      <c r="BP46" s="14">
        <v>24476.19047618</v>
      </c>
      <c r="BQ46" s="12">
        <f t="shared" si="21"/>
        <v>3</v>
      </c>
      <c r="BR46" s="14">
        <f t="shared" si="22"/>
        <v>24476.19047618</v>
      </c>
      <c r="BS46" s="13" t="e">
        <f t="shared" si="23"/>
        <v>#DIV/0!</v>
      </c>
      <c r="BU46" s="16"/>
      <c r="BV46" s="15" t="s">
        <v>7</v>
      </c>
      <c r="BW46" s="12">
        <v>1</v>
      </c>
      <c r="BX46" s="14">
        <v>13809.52380952</v>
      </c>
      <c r="BY46" s="12">
        <f t="shared" si="24"/>
        <v>-2</v>
      </c>
      <c r="BZ46" s="14">
        <f t="shared" si="25"/>
        <v>-10666.666666659999</v>
      </c>
      <c r="CA46" s="13">
        <f t="shared" si="26"/>
        <v>-0.43579766536956394</v>
      </c>
      <c r="CC46" s="16"/>
      <c r="CD46" s="15" t="s">
        <v>7</v>
      </c>
      <c r="CE46" s="12">
        <v>1</v>
      </c>
      <c r="CF46" s="14">
        <v>7523.8095237999996</v>
      </c>
      <c r="CG46" s="12">
        <f t="shared" si="27"/>
        <v>0</v>
      </c>
      <c r="CH46" s="14">
        <f t="shared" si="28"/>
        <v>-6285.7142857200006</v>
      </c>
      <c r="CI46" s="13">
        <f t="shared" si="29"/>
        <v>-0.45517241379364282</v>
      </c>
      <c r="CK46" s="16"/>
      <c r="CL46" s="15" t="s">
        <v>7</v>
      </c>
      <c r="CM46" s="12">
        <v>20</v>
      </c>
      <c r="CN46" s="14">
        <v>263809.52380949003</v>
      </c>
      <c r="CO46" s="12">
        <f t="shared" si="30"/>
        <v>19</v>
      </c>
      <c r="CP46" s="14">
        <f t="shared" si="31"/>
        <v>256285.71428569002</v>
      </c>
      <c r="CQ46" s="13">
        <f t="shared" si="32"/>
        <v>34.063291139280402</v>
      </c>
      <c r="CS46" s="16"/>
      <c r="CT46" s="15" t="s">
        <v>7</v>
      </c>
      <c r="CU46" s="12">
        <v>25</v>
      </c>
      <c r="CV46" s="14">
        <v>325609.52380946005</v>
      </c>
      <c r="CW46" s="12">
        <f t="shared" si="33"/>
        <v>5</v>
      </c>
      <c r="CX46" s="14">
        <f t="shared" si="34"/>
        <v>61799.999999970023</v>
      </c>
      <c r="CY46" s="13">
        <f t="shared" si="35"/>
        <v>0.23425992779775029</v>
      </c>
    </row>
    <row r="47" spans="1:103" s="12" customFormat="1" ht="20" customHeight="1">
      <c r="A47" s="16"/>
      <c r="B47" s="15" t="s">
        <v>6</v>
      </c>
      <c r="C47" s="12">
        <v>0</v>
      </c>
      <c r="D47" s="14">
        <v>0</v>
      </c>
      <c r="E47" s="12" t="e">
        <f>C47-#REF!</f>
        <v>#REF!</v>
      </c>
      <c r="F47" s="14" t="e">
        <f>D47-#REF!</f>
        <v>#REF!</v>
      </c>
      <c r="G47" s="13" t="e">
        <f>(D47-#REF!)/#REF!</f>
        <v>#REF!</v>
      </c>
      <c r="I47" s="16"/>
      <c r="J47" s="15" t="s">
        <v>6</v>
      </c>
      <c r="K47" s="12">
        <v>1</v>
      </c>
      <c r="L47" s="14">
        <v>2857.1428571400002</v>
      </c>
      <c r="M47" s="12">
        <f t="shared" si="42"/>
        <v>1</v>
      </c>
      <c r="N47" s="14">
        <f t="shared" si="43"/>
        <v>2857.1428571400002</v>
      </c>
      <c r="O47" s="13" t="e">
        <f t="shared" si="44"/>
        <v>#DIV/0!</v>
      </c>
      <c r="Q47" s="16"/>
      <c r="R47" s="15" t="s">
        <v>6</v>
      </c>
      <c r="S47" s="12">
        <v>2</v>
      </c>
      <c r="T47" s="14">
        <v>5514.2857142800003</v>
      </c>
      <c r="U47" s="12">
        <f t="shared" si="3"/>
        <v>1</v>
      </c>
      <c r="V47" s="14">
        <f t="shared" si="4"/>
        <v>2657.1428571400002</v>
      </c>
      <c r="W47" s="13">
        <f t="shared" si="5"/>
        <v>0.92999999999992999</v>
      </c>
      <c r="Y47" s="16"/>
      <c r="Z47" s="15" t="s">
        <v>6</v>
      </c>
      <c r="AA47" s="12">
        <v>0</v>
      </c>
      <c r="AB47" s="14">
        <v>0</v>
      </c>
      <c r="AC47" s="12">
        <f t="shared" si="6"/>
        <v>-2</v>
      </c>
      <c r="AD47" s="14">
        <f t="shared" si="7"/>
        <v>-5514.2857142800003</v>
      </c>
      <c r="AE47" s="13">
        <f t="shared" si="8"/>
        <v>-1</v>
      </c>
      <c r="AG47" s="16"/>
      <c r="AH47" s="15" t="s">
        <v>6</v>
      </c>
      <c r="AI47" s="12">
        <v>0</v>
      </c>
      <c r="AJ47" s="14">
        <v>0</v>
      </c>
      <c r="AK47" s="12">
        <f t="shared" si="9"/>
        <v>0</v>
      </c>
      <c r="AL47" s="14">
        <f t="shared" si="10"/>
        <v>0</v>
      </c>
      <c r="AM47" s="13" t="e">
        <f t="shared" si="11"/>
        <v>#DIV/0!</v>
      </c>
      <c r="AO47" s="16"/>
      <c r="AP47" s="15" t="s">
        <v>6</v>
      </c>
      <c r="AQ47" s="12">
        <v>0</v>
      </c>
      <c r="AR47" s="14">
        <v>0</v>
      </c>
      <c r="AS47" s="12">
        <f t="shared" si="12"/>
        <v>0</v>
      </c>
      <c r="AT47" s="14">
        <f t="shared" si="13"/>
        <v>0</v>
      </c>
      <c r="AU47" s="13" t="e">
        <f t="shared" si="14"/>
        <v>#DIV/0!</v>
      </c>
      <c r="AW47" s="16"/>
      <c r="AX47" s="15" t="s">
        <v>6</v>
      </c>
      <c r="AY47" s="12">
        <v>1</v>
      </c>
      <c r="AZ47" s="14">
        <v>5237.1428571400002</v>
      </c>
      <c r="BA47" s="12">
        <f t="shared" si="15"/>
        <v>1</v>
      </c>
      <c r="BB47" s="14">
        <f t="shared" si="16"/>
        <v>5237.1428571400002</v>
      </c>
      <c r="BC47" s="13" t="e">
        <f t="shared" si="17"/>
        <v>#DIV/0!</v>
      </c>
      <c r="BE47" s="16"/>
      <c r="BF47" s="15" t="s">
        <v>6</v>
      </c>
      <c r="BG47" s="12">
        <v>1</v>
      </c>
      <c r="BH47" s="14">
        <v>8857.1428571399993</v>
      </c>
      <c r="BI47" s="12">
        <f t="shared" si="18"/>
        <v>0</v>
      </c>
      <c r="BJ47" s="14">
        <f t="shared" si="19"/>
        <v>3619.9999999999991</v>
      </c>
      <c r="BK47" s="13">
        <f t="shared" si="20"/>
        <v>0.69121658483398296</v>
      </c>
      <c r="BL47" s="14"/>
      <c r="BM47" s="16"/>
      <c r="BN47" s="15" t="s">
        <v>6</v>
      </c>
      <c r="BO47" s="12">
        <v>0</v>
      </c>
      <c r="BP47" s="14">
        <v>0</v>
      </c>
      <c r="BQ47" s="12">
        <f t="shared" si="21"/>
        <v>-1</v>
      </c>
      <c r="BR47" s="14">
        <f t="shared" si="22"/>
        <v>-8857.1428571399993</v>
      </c>
      <c r="BS47" s="13">
        <f t="shared" si="23"/>
        <v>-1</v>
      </c>
      <c r="BU47" s="16"/>
      <c r="BV47" s="15" t="s">
        <v>6</v>
      </c>
      <c r="BW47" s="12">
        <v>0</v>
      </c>
      <c r="BX47" s="14">
        <v>0</v>
      </c>
      <c r="BY47" s="12">
        <f t="shared" si="24"/>
        <v>0</v>
      </c>
      <c r="BZ47" s="14">
        <f t="shared" si="25"/>
        <v>0</v>
      </c>
      <c r="CA47" s="13" t="e">
        <f t="shared" si="26"/>
        <v>#DIV/0!</v>
      </c>
      <c r="CC47" s="16"/>
      <c r="CD47" s="15" t="s">
        <v>6</v>
      </c>
      <c r="CE47" s="12">
        <v>2</v>
      </c>
      <c r="CF47" s="14">
        <v>5714.2857142800003</v>
      </c>
      <c r="CG47" s="12">
        <f t="shared" si="27"/>
        <v>2</v>
      </c>
      <c r="CH47" s="14">
        <f t="shared" si="28"/>
        <v>5714.2857142800003</v>
      </c>
      <c r="CI47" s="13" t="e">
        <f t="shared" si="29"/>
        <v>#DIV/0!</v>
      </c>
      <c r="CK47" s="16"/>
      <c r="CL47" s="15" t="s">
        <v>6</v>
      </c>
      <c r="CM47" s="12">
        <v>1</v>
      </c>
      <c r="CN47" s="14">
        <v>2857.1428571400002</v>
      </c>
      <c r="CO47" s="12">
        <f t="shared" si="30"/>
        <v>-1</v>
      </c>
      <c r="CP47" s="14">
        <f t="shared" si="31"/>
        <v>-2857.1428571400002</v>
      </c>
      <c r="CQ47" s="13">
        <f t="shared" si="32"/>
        <v>-0.5</v>
      </c>
      <c r="CS47" s="16"/>
      <c r="CT47" s="15" t="s">
        <v>6</v>
      </c>
      <c r="CU47" s="18">
        <v>0</v>
      </c>
      <c r="CV47" s="14">
        <v>0</v>
      </c>
      <c r="CW47" s="12">
        <f t="shared" si="33"/>
        <v>-1</v>
      </c>
      <c r="CX47" s="14">
        <f t="shared" si="34"/>
        <v>-2857.1428571400002</v>
      </c>
      <c r="CY47" s="13">
        <f t="shared" si="35"/>
        <v>-1</v>
      </c>
    </row>
    <row r="48" spans="1:103" s="12" customFormat="1" ht="20" customHeight="1">
      <c r="A48" s="16"/>
      <c r="B48" s="15" t="s">
        <v>5</v>
      </c>
      <c r="C48" s="12">
        <v>3</v>
      </c>
      <c r="D48" s="14">
        <v>14571.428571419998</v>
      </c>
      <c r="E48" s="12" t="e">
        <f>C48-#REF!</f>
        <v>#REF!</v>
      </c>
      <c r="F48" s="14" t="e">
        <f>D48-#REF!</f>
        <v>#REF!</v>
      </c>
      <c r="G48" s="13" t="e">
        <f>(D48-#REF!)/#REF!</f>
        <v>#REF!</v>
      </c>
      <c r="I48" s="16"/>
      <c r="J48" s="15" t="s">
        <v>5</v>
      </c>
      <c r="K48" s="12">
        <v>0</v>
      </c>
      <c r="L48" s="14">
        <v>0</v>
      </c>
      <c r="M48" s="12">
        <f t="shared" si="42"/>
        <v>-3</v>
      </c>
      <c r="N48" s="14">
        <f t="shared" si="43"/>
        <v>-14571.428571419998</v>
      </c>
      <c r="O48" s="13">
        <f t="shared" si="44"/>
        <v>-1</v>
      </c>
      <c r="Q48" s="16"/>
      <c r="R48" s="15" t="s">
        <v>5</v>
      </c>
      <c r="S48" s="12">
        <v>2</v>
      </c>
      <c r="T48" s="14">
        <v>9880</v>
      </c>
      <c r="U48" s="12">
        <f t="shared" si="3"/>
        <v>2</v>
      </c>
      <c r="V48" s="14">
        <f t="shared" si="4"/>
        <v>9880</v>
      </c>
      <c r="W48" s="13" t="e">
        <f t="shared" si="5"/>
        <v>#DIV/0!</v>
      </c>
      <c r="Y48" s="16"/>
      <c r="Z48" s="15" t="s">
        <v>5</v>
      </c>
      <c r="AA48" s="12">
        <v>0</v>
      </c>
      <c r="AB48" s="14">
        <v>0</v>
      </c>
      <c r="AC48" s="12">
        <f t="shared" si="6"/>
        <v>-2</v>
      </c>
      <c r="AD48" s="14">
        <f t="shared" si="7"/>
        <v>-9880</v>
      </c>
      <c r="AE48" s="13">
        <f t="shared" si="8"/>
        <v>-1</v>
      </c>
      <c r="AG48" s="16"/>
      <c r="AH48" s="15" t="s">
        <v>5</v>
      </c>
      <c r="AI48" s="12">
        <v>0</v>
      </c>
      <c r="AJ48" s="14">
        <v>0</v>
      </c>
      <c r="AK48" s="12">
        <f t="shared" si="9"/>
        <v>0</v>
      </c>
      <c r="AL48" s="14">
        <f t="shared" si="10"/>
        <v>0</v>
      </c>
      <c r="AM48" s="13" t="e">
        <f t="shared" si="11"/>
        <v>#DIV/0!</v>
      </c>
      <c r="AO48" s="16"/>
      <c r="AP48" s="15" t="s">
        <v>5</v>
      </c>
      <c r="AQ48" s="12">
        <v>1</v>
      </c>
      <c r="AR48" s="14">
        <v>2714.2857142799999</v>
      </c>
      <c r="AS48" s="12">
        <f t="shared" si="12"/>
        <v>1</v>
      </c>
      <c r="AT48" s="14">
        <f t="shared" si="13"/>
        <v>2714.2857142799999</v>
      </c>
      <c r="AU48" s="13" t="e">
        <f t="shared" si="14"/>
        <v>#DIV/0!</v>
      </c>
      <c r="AW48" s="16"/>
      <c r="AX48" s="15" t="s">
        <v>5</v>
      </c>
      <c r="AY48" s="12">
        <v>2</v>
      </c>
      <c r="AZ48" s="14">
        <v>15280</v>
      </c>
      <c r="BA48" s="12">
        <f t="shared" si="15"/>
        <v>1</v>
      </c>
      <c r="BB48" s="14">
        <f t="shared" si="16"/>
        <v>12565.71428572</v>
      </c>
      <c r="BC48" s="13">
        <f t="shared" si="17"/>
        <v>4.6294736842223783</v>
      </c>
      <c r="BE48" s="16"/>
      <c r="BF48" s="15" t="s">
        <v>5</v>
      </c>
      <c r="BG48" s="12">
        <v>1</v>
      </c>
      <c r="BH48" s="14">
        <v>6290</v>
      </c>
      <c r="BI48" s="12">
        <f t="shared" si="18"/>
        <v>-1</v>
      </c>
      <c r="BJ48" s="14">
        <f t="shared" si="19"/>
        <v>-8990</v>
      </c>
      <c r="BK48" s="13">
        <f t="shared" si="20"/>
        <v>-0.58835078534031415</v>
      </c>
      <c r="BL48" s="17"/>
      <c r="BM48" s="16"/>
      <c r="BN48" s="15" t="s">
        <v>5</v>
      </c>
      <c r="BO48" s="12">
        <v>1</v>
      </c>
      <c r="BP48" s="14">
        <v>8990</v>
      </c>
      <c r="BQ48" s="12">
        <f t="shared" si="21"/>
        <v>0</v>
      </c>
      <c r="BR48" s="14">
        <f t="shared" si="22"/>
        <v>2700</v>
      </c>
      <c r="BS48" s="13">
        <f t="shared" si="23"/>
        <v>0.42925278219395868</v>
      </c>
      <c r="BU48" s="16"/>
      <c r="BV48" s="15" t="s">
        <v>5</v>
      </c>
      <c r="BW48" s="12">
        <v>2</v>
      </c>
      <c r="BX48" s="14">
        <v>15280</v>
      </c>
      <c r="BY48" s="12">
        <f t="shared" si="24"/>
        <v>1</v>
      </c>
      <c r="BZ48" s="14">
        <f t="shared" si="25"/>
        <v>6290</v>
      </c>
      <c r="CA48" s="13">
        <f t="shared" si="26"/>
        <v>0.69966629588431595</v>
      </c>
      <c r="CC48" s="16"/>
      <c r="CD48" s="15" t="s">
        <v>5</v>
      </c>
      <c r="CF48" s="14"/>
      <c r="CG48" s="12">
        <f t="shared" si="27"/>
        <v>-2</v>
      </c>
      <c r="CH48" s="14">
        <f t="shared" si="28"/>
        <v>-15280</v>
      </c>
      <c r="CI48" s="13">
        <f t="shared" si="29"/>
        <v>-1</v>
      </c>
      <c r="CK48" s="16"/>
      <c r="CL48" s="15" t="s">
        <v>5</v>
      </c>
      <c r="CM48" s="12">
        <v>4</v>
      </c>
      <c r="CN48" s="14">
        <v>14760</v>
      </c>
      <c r="CO48" s="12">
        <f t="shared" si="30"/>
        <v>4</v>
      </c>
      <c r="CP48" s="14">
        <f t="shared" si="31"/>
        <v>14760</v>
      </c>
      <c r="CQ48" s="13" t="e">
        <f t="shared" si="32"/>
        <v>#DIV/0!</v>
      </c>
      <c r="CS48" s="16"/>
      <c r="CT48" s="15" t="s">
        <v>5</v>
      </c>
      <c r="CU48" s="12">
        <v>2</v>
      </c>
      <c r="CV48" s="14">
        <v>12780</v>
      </c>
      <c r="CW48" s="12">
        <f t="shared" si="33"/>
        <v>-2</v>
      </c>
      <c r="CX48" s="14">
        <f t="shared" si="34"/>
        <v>-1980</v>
      </c>
      <c r="CY48" s="13">
        <f t="shared" si="35"/>
        <v>-0.13414634146341464</v>
      </c>
    </row>
    <row r="49" spans="1:103" s="12" customFormat="1" ht="20" customHeight="1">
      <c r="A49" s="16"/>
      <c r="B49" s="15" t="s">
        <v>4</v>
      </c>
      <c r="C49" s="12">
        <v>1</v>
      </c>
      <c r="D49" s="14">
        <v>39904.761904760002</v>
      </c>
      <c r="E49" s="12" t="e">
        <f>C49-#REF!</f>
        <v>#REF!</v>
      </c>
      <c r="F49" s="14" t="e">
        <f>D49-#REF!</f>
        <v>#REF!</v>
      </c>
      <c r="G49" s="13" t="e">
        <f>(D49-#REF!)/#REF!</f>
        <v>#REF!</v>
      </c>
      <c r="I49" s="16"/>
      <c r="J49" s="15" t="s">
        <v>4</v>
      </c>
      <c r="K49" s="12">
        <v>3</v>
      </c>
      <c r="L49" s="14">
        <v>117809.52380950999</v>
      </c>
      <c r="M49" s="12">
        <f t="shared" si="42"/>
        <v>2</v>
      </c>
      <c r="N49" s="14">
        <f t="shared" si="43"/>
        <v>77904.76190474999</v>
      </c>
      <c r="O49" s="13">
        <f t="shared" si="44"/>
        <v>1.9522673031024198</v>
      </c>
      <c r="Q49" s="16"/>
      <c r="R49" s="15" t="s">
        <v>4</v>
      </c>
      <c r="S49" s="12">
        <v>1</v>
      </c>
      <c r="T49" s="14">
        <v>43311.428571420001</v>
      </c>
      <c r="U49" s="12">
        <f t="shared" si="3"/>
        <v>-2</v>
      </c>
      <c r="V49" s="14">
        <f t="shared" si="4"/>
        <v>-74498.095238089998</v>
      </c>
      <c r="W49" s="13">
        <f t="shared" si="5"/>
        <v>-0.63236054971708711</v>
      </c>
      <c r="Y49" s="16"/>
      <c r="Z49" s="15" t="s">
        <v>4</v>
      </c>
      <c r="AA49" s="12">
        <v>1</v>
      </c>
      <c r="AB49" s="14">
        <v>38000</v>
      </c>
      <c r="AC49" s="12">
        <f t="shared" si="6"/>
        <v>0</v>
      </c>
      <c r="AD49" s="14">
        <f t="shared" si="7"/>
        <v>-5311.4285714200014</v>
      </c>
      <c r="AE49" s="13">
        <f t="shared" si="8"/>
        <v>-0.12263341909079546</v>
      </c>
      <c r="AG49" s="16"/>
      <c r="AH49" s="15" t="s">
        <v>4</v>
      </c>
      <c r="AI49" s="12">
        <v>4</v>
      </c>
      <c r="AJ49" s="14">
        <v>131523.80952379998</v>
      </c>
      <c r="AK49" s="12">
        <f t="shared" si="9"/>
        <v>3</v>
      </c>
      <c r="AL49" s="14">
        <f t="shared" si="10"/>
        <v>93523.809523799981</v>
      </c>
      <c r="AM49" s="13">
        <f t="shared" si="11"/>
        <v>2.4611528822052628</v>
      </c>
      <c r="AO49" s="16"/>
      <c r="AP49" s="15" t="s">
        <v>4</v>
      </c>
      <c r="AQ49" s="12">
        <v>1</v>
      </c>
      <c r="AR49" s="14">
        <v>50380.952380950002</v>
      </c>
      <c r="AS49" s="12">
        <f t="shared" si="12"/>
        <v>-3</v>
      </c>
      <c r="AT49" s="14">
        <f t="shared" si="13"/>
        <v>-81142.857142849971</v>
      </c>
      <c r="AU49" s="13">
        <f t="shared" si="14"/>
        <v>-0.61694424330194531</v>
      </c>
      <c r="AW49" s="16"/>
      <c r="AX49" s="15" t="s">
        <v>4</v>
      </c>
      <c r="AY49" s="12">
        <v>2</v>
      </c>
      <c r="AZ49" s="14">
        <v>76437.142857130006</v>
      </c>
      <c r="BA49" s="12">
        <f t="shared" si="15"/>
        <v>1</v>
      </c>
      <c r="BB49" s="14">
        <f t="shared" si="16"/>
        <v>26056.190476180003</v>
      </c>
      <c r="BC49" s="13">
        <f t="shared" si="17"/>
        <v>0.51718336483913596</v>
      </c>
      <c r="BE49" s="16"/>
      <c r="BF49" s="15" t="s">
        <v>4</v>
      </c>
      <c r="BG49" s="12">
        <v>2</v>
      </c>
      <c r="BH49" s="14">
        <v>64149.523809509999</v>
      </c>
      <c r="BI49" s="12">
        <f t="shared" si="18"/>
        <v>0</v>
      </c>
      <c r="BJ49" s="14">
        <f t="shared" si="19"/>
        <v>-12287.619047620006</v>
      </c>
      <c r="BK49" s="13">
        <f t="shared" si="20"/>
        <v>-0.1607545571213593</v>
      </c>
      <c r="BL49" s="17"/>
      <c r="BM49" s="16"/>
      <c r="BN49" s="15" t="s">
        <v>4</v>
      </c>
      <c r="BO49" s="12">
        <v>7</v>
      </c>
      <c r="BP49" s="14">
        <v>264095.23809522</v>
      </c>
      <c r="BQ49" s="12">
        <f t="shared" si="21"/>
        <v>5</v>
      </c>
      <c r="BR49" s="14">
        <f t="shared" si="22"/>
        <v>199945.71428571001</v>
      </c>
      <c r="BS49" s="13">
        <f t="shared" si="23"/>
        <v>3.1168698130861041</v>
      </c>
      <c r="BU49" s="16"/>
      <c r="BV49" s="15" t="s">
        <v>4</v>
      </c>
      <c r="BW49" s="12">
        <v>5</v>
      </c>
      <c r="BX49" s="14">
        <v>207356.19047617001</v>
      </c>
      <c r="BY49" s="12">
        <f t="shared" si="24"/>
        <v>-2</v>
      </c>
      <c r="BZ49" s="14">
        <f t="shared" si="25"/>
        <v>-56739.04761904999</v>
      </c>
      <c r="CA49" s="13">
        <f t="shared" si="26"/>
        <v>-0.21484313018394002</v>
      </c>
      <c r="CC49" s="16"/>
      <c r="CD49" s="15" t="s">
        <v>4</v>
      </c>
      <c r="CE49" s="12">
        <v>3</v>
      </c>
      <c r="CF49" s="14">
        <v>96380.952380939998</v>
      </c>
      <c r="CG49" s="12">
        <f t="shared" si="27"/>
        <v>-2</v>
      </c>
      <c r="CH49" s="14">
        <f t="shared" si="28"/>
        <v>-110975.23809523002</v>
      </c>
      <c r="CI49" s="13">
        <f t="shared" si="29"/>
        <v>-0.53519134316842887</v>
      </c>
      <c r="CK49" s="16"/>
      <c r="CL49" s="15" t="s">
        <v>4</v>
      </c>
      <c r="CM49" s="12">
        <v>2</v>
      </c>
      <c r="CN49" s="14">
        <v>83142.857142840003</v>
      </c>
      <c r="CO49" s="12">
        <f t="shared" si="30"/>
        <v>-1</v>
      </c>
      <c r="CP49" s="14">
        <f t="shared" si="31"/>
        <v>-13238.095238099995</v>
      </c>
      <c r="CQ49" s="13">
        <f t="shared" si="32"/>
        <v>-0.1373517786561935</v>
      </c>
      <c r="CS49" s="16"/>
      <c r="CT49" s="15" t="s">
        <v>4</v>
      </c>
      <c r="CU49" s="12">
        <v>5</v>
      </c>
      <c r="CV49" s="14">
        <v>165238.09523809</v>
      </c>
      <c r="CW49" s="12">
        <f t="shared" si="33"/>
        <v>3</v>
      </c>
      <c r="CX49" s="14">
        <f t="shared" si="34"/>
        <v>82095.238095249995</v>
      </c>
      <c r="CY49" s="13">
        <f t="shared" si="35"/>
        <v>0.9873997709052722</v>
      </c>
    </row>
    <row r="50" spans="1:103" s="12" customFormat="1" ht="20" customHeight="1">
      <c r="A50" s="16"/>
      <c r="B50" s="15" t="s">
        <v>3</v>
      </c>
      <c r="C50" s="12">
        <v>20</v>
      </c>
      <c r="D50" s="14">
        <v>366761.90476184996</v>
      </c>
      <c r="E50" s="12" t="e">
        <f>C50-#REF!</f>
        <v>#REF!</v>
      </c>
      <c r="F50" s="14" t="e">
        <f>D50-#REF!</f>
        <v>#REF!</v>
      </c>
      <c r="G50" s="13" t="e">
        <f>(D50-#REF!)/#REF!</f>
        <v>#REF!</v>
      </c>
      <c r="I50" s="16"/>
      <c r="J50" s="15" t="s">
        <v>3</v>
      </c>
      <c r="K50" s="12">
        <v>17</v>
      </c>
      <c r="L50" s="14">
        <v>319904.76190471998</v>
      </c>
      <c r="M50" s="12">
        <f t="shared" si="42"/>
        <v>-3</v>
      </c>
      <c r="N50" s="14">
        <f t="shared" si="43"/>
        <v>-46857.142857129977</v>
      </c>
      <c r="O50" s="13">
        <f t="shared" si="44"/>
        <v>-0.12775902363020988</v>
      </c>
      <c r="Q50" s="16"/>
      <c r="R50" s="15" t="s">
        <v>3</v>
      </c>
      <c r="S50" s="12">
        <v>15</v>
      </c>
      <c r="T50" s="14">
        <v>288571.4285714</v>
      </c>
      <c r="U50" s="12">
        <f t="shared" si="3"/>
        <v>-2</v>
      </c>
      <c r="V50" s="14">
        <f t="shared" si="4"/>
        <v>-31333.333333319984</v>
      </c>
      <c r="W50" s="13">
        <f t="shared" si="5"/>
        <v>-9.7945817207473335E-2</v>
      </c>
      <c r="Y50" s="16"/>
      <c r="Z50" s="15" t="s">
        <v>3</v>
      </c>
      <c r="AA50" s="12">
        <v>11</v>
      </c>
      <c r="AB50" s="14">
        <v>199523.80952377996</v>
      </c>
      <c r="AC50" s="12">
        <f t="shared" si="6"/>
        <v>-4</v>
      </c>
      <c r="AD50" s="14">
        <f t="shared" si="7"/>
        <v>-89047.619047620043</v>
      </c>
      <c r="AE50" s="13">
        <f t="shared" si="8"/>
        <v>-0.30858085808584257</v>
      </c>
      <c r="AG50" s="16"/>
      <c r="AH50" s="15" t="s">
        <v>3</v>
      </c>
      <c r="AI50" s="12">
        <v>15</v>
      </c>
      <c r="AJ50" s="14">
        <v>229047.61904760002</v>
      </c>
      <c r="AK50" s="12">
        <f t="shared" si="9"/>
        <v>4</v>
      </c>
      <c r="AL50" s="14">
        <f t="shared" si="10"/>
        <v>29523.809523820062</v>
      </c>
      <c r="AM50" s="13">
        <f t="shared" si="11"/>
        <v>0.14797136038193631</v>
      </c>
      <c r="AO50" s="16"/>
      <c r="AP50" s="15" t="s">
        <v>3</v>
      </c>
      <c r="AQ50" s="12">
        <v>14</v>
      </c>
      <c r="AR50" s="14">
        <v>228761.90476185997</v>
      </c>
      <c r="AS50" s="12">
        <f t="shared" si="12"/>
        <v>-1</v>
      </c>
      <c r="AT50" s="14">
        <f t="shared" si="13"/>
        <v>-285.71428574004676</v>
      </c>
      <c r="AU50" s="13">
        <f t="shared" si="14"/>
        <v>-1.2474012475138213E-3</v>
      </c>
      <c r="AW50" s="16"/>
      <c r="AX50" s="15" t="s">
        <v>3</v>
      </c>
      <c r="AY50" s="12">
        <v>12</v>
      </c>
      <c r="AZ50" s="14">
        <v>200095.23809520999</v>
      </c>
      <c r="BA50" s="12">
        <f t="shared" si="15"/>
        <v>-2</v>
      </c>
      <c r="BB50" s="14">
        <f t="shared" si="16"/>
        <v>-28666.66666664998</v>
      </c>
      <c r="BC50" s="13">
        <f t="shared" si="17"/>
        <v>-0.12531223980011813</v>
      </c>
      <c r="BE50" s="16"/>
      <c r="BF50" s="15" t="s">
        <v>3</v>
      </c>
      <c r="BG50" s="12">
        <v>9</v>
      </c>
      <c r="BH50" s="14">
        <v>119714.28571425998</v>
      </c>
      <c r="BI50" s="12">
        <f t="shared" si="18"/>
        <v>-3</v>
      </c>
      <c r="BJ50" s="14">
        <f t="shared" si="19"/>
        <v>-80380.95238095001</v>
      </c>
      <c r="BK50" s="13">
        <f t="shared" si="20"/>
        <v>-0.40171346977634159</v>
      </c>
      <c r="BL50" s="17"/>
      <c r="BM50" s="16"/>
      <c r="BN50" s="15" t="s">
        <v>3</v>
      </c>
      <c r="BO50" s="12">
        <v>13</v>
      </c>
      <c r="BP50" s="14">
        <v>224761.90476186</v>
      </c>
      <c r="BQ50" s="12">
        <f t="shared" si="21"/>
        <v>4</v>
      </c>
      <c r="BR50" s="14">
        <f t="shared" si="22"/>
        <v>105047.61904760002</v>
      </c>
      <c r="BS50" s="13">
        <f t="shared" si="23"/>
        <v>0.87748607796343459</v>
      </c>
      <c r="BU50" s="16"/>
      <c r="BV50" s="15" t="s">
        <v>3</v>
      </c>
      <c r="BW50" s="12">
        <v>10</v>
      </c>
      <c r="BX50" s="14">
        <v>191142.85714281999</v>
      </c>
      <c r="BY50" s="12">
        <f t="shared" si="24"/>
        <v>-3</v>
      </c>
      <c r="BZ50" s="14">
        <f t="shared" si="25"/>
        <v>-33619.047619040008</v>
      </c>
      <c r="CA50" s="13">
        <f t="shared" si="26"/>
        <v>-0.1495762711864366</v>
      </c>
      <c r="CC50" s="16"/>
      <c r="CD50" s="15" t="s">
        <v>3</v>
      </c>
      <c r="CE50" s="12">
        <v>13</v>
      </c>
      <c r="CF50" s="14">
        <v>217047.61904759001</v>
      </c>
      <c r="CG50" s="12">
        <f t="shared" si="27"/>
        <v>3</v>
      </c>
      <c r="CH50" s="14">
        <f t="shared" si="28"/>
        <v>25904.761904770014</v>
      </c>
      <c r="CI50" s="13">
        <f t="shared" si="29"/>
        <v>0.13552566018940609</v>
      </c>
      <c r="CK50" s="16"/>
      <c r="CL50" s="15" t="s">
        <v>3</v>
      </c>
      <c r="CM50" s="12">
        <v>16</v>
      </c>
      <c r="CN50" s="14">
        <v>290761.90476187004</v>
      </c>
      <c r="CO50" s="12">
        <f t="shared" si="30"/>
        <v>3</v>
      </c>
      <c r="CP50" s="14">
        <f t="shared" si="31"/>
        <v>73714.285714280035</v>
      </c>
      <c r="CQ50" s="13">
        <f t="shared" si="32"/>
        <v>0.33962264150945326</v>
      </c>
      <c r="CS50" s="16"/>
      <c r="CT50" s="15" t="s">
        <v>3</v>
      </c>
      <c r="CU50" s="12">
        <v>9</v>
      </c>
      <c r="CV50" s="14">
        <v>133619.04761901998</v>
      </c>
      <c r="CW50" s="12">
        <f t="shared" si="33"/>
        <v>-7</v>
      </c>
      <c r="CX50" s="14">
        <f t="shared" si="34"/>
        <v>-157142.85714285006</v>
      </c>
      <c r="CY50" s="13">
        <f t="shared" si="35"/>
        <v>-0.5404520144120939</v>
      </c>
    </row>
    <row r="51" spans="1:103" s="12" customFormat="1" ht="20" customHeight="1">
      <c r="A51" s="16"/>
      <c r="B51" s="15" t="s">
        <v>2</v>
      </c>
      <c r="C51" s="12">
        <v>11</v>
      </c>
      <c r="D51" s="14">
        <v>330361.90476186998</v>
      </c>
      <c r="E51" s="12" t="e">
        <f>C51-#REF!</f>
        <v>#REF!</v>
      </c>
      <c r="F51" s="14" t="e">
        <f>D51-#REF!</f>
        <v>#REF!</v>
      </c>
      <c r="G51" s="13" t="e">
        <f>(D51-#REF!)/#REF!</f>
        <v>#REF!</v>
      </c>
      <c r="I51" s="16"/>
      <c r="J51" s="15" t="s">
        <v>2</v>
      </c>
      <c r="K51" s="12">
        <v>9</v>
      </c>
      <c r="L51" s="14">
        <v>299904.76190473995</v>
      </c>
      <c r="M51" s="12">
        <f t="shared" si="42"/>
        <v>-2</v>
      </c>
      <c r="N51" s="14">
        <f t="shared" si="43"/>
        <v>-30457.142857130035</v>
      </c>
      <c r="O51" s="13">
        <f t="shared" si="44"/>
        <v>-9.2193265682627715E-2</v>
      </c>
      <c r="Q51" s="16"/>
      <c r="R51" s="15" t="s">
        <v>2</v>
      </c>
      <c r="S51" s="12">
        <v>8</v>
      </c>
      <c r="T51" s="14">
        <v>249714.28571426001</v>
      </c>
      <c r="U51" s="12">
        <f t="shared" si="3"/>
        <v>-1</v>
      </c>
      <c r="V51" s="14">
        <f t="shared" si="4"/>
        <v>-50190.476190479938</v>
      </c>
      <c r="W51" s="13">
        <f t="shared" si="5"/>
        <v>-0.16735471578281294</v>
      </c>
      <c r="Y51" s="16"/>
      <c r="Z51" s="15" t="s">
        <v>2</v>
      </c>
      <c r="AA51" s="12">
        <v>9</v>
      </c>
      <c r="AB51" s="14">
        <v>290095.23809520999</v>
      </c>
      <c r="AC51" s="12">
        <f t="shared" si="6"/>
        <v>1</v>
      </c>
      <c r="AD51" s="14">
        <f t="shared" si="7"/>
        <v>40380.952380949981</v>
      </c>
      <c r="AE51" s="13">
        <f t="shared" si="8"/>
        <v>0.16170861937453029</v>
      </c>
      <c r="AG51" s="16"/>
      <c r="AH51" s="15" t="s">
        <v>2</v>
      </c>
      <c r="AI51" s="12">
        <v>10</v>
      </c>
      <c r="AJ51" s="14">
        <v>329523.80952376995</v>
      </c>
      <c r="AK51" s="12">
        <f t="shared" si="9"/>
        <v>1</v>
      </c>
      <c r="AL51" s="14">
        <f t="shared" si="10"/>
        <v>39428.571428559953</v>
      </c>
      <c r="AM51" s="13">
        <f t="shared" si="11"/>
        <v>0.13591595535125398</v>
      </c>
      <c r="AO51" s="16"/>
      <c r="AP51" s="15" t="s">
        <v>2</v>
      </c>
      <c r="AQ51" s="12">
        <v>8</v>
      </c>
      <c r="AR51" s="14">
        <v>281619.04761901998</v>
      </c>
      <c r="AS51" s="12">
        <f t="shared" si="12"/>
        <v>-2</v>
      </c>
      <c r="AT51" s="14">
        <f t="shared" si="13"/>
        <v>-47904.761904749961</v>
      </c>
      <c r="AU51" s="13">
        <f t="shared" si="14"/>
        <v>-0.14537572254333381</v>
      </c>
      <c r="AW51" s="16"/>
      <c r="AX51" s="15" t="s">
        <v>2</v>
      </c>
      <c r="AY51" s="12">
        <v>13</v>
      </c>
      <c r="AZ51" s="14">
        <v>419249.52380949003</v>
      </c>
      <c r="BA51" s="12">
        <f t="shared" si="15"/>
        <v>5</v>
      </c>
      <c r="BB51" s="14">
        <f t="shared" si="16"/>
        <v>137630.47619047004</v>
      </c>
      <c r="BC51" s="13">
        <f t="shared" si="17"/>
        <v>0.48871153195809175</v>
      </c>
      <c r="BE51" s="16"/>
      <c r="BF51" s="15" t="s">
        <v>2</v>
      </c>
      <c r="BG51" s="12">
        <v>4</v>
      </c>
      <c r="BH51" s="14">
        <v>120095.23809523</v>
      </c>
      <c r="BI51" s="12">
        <f t="shared" si="18"/>
        <v>-9</v>
      </c>
      <c r="BJ51" s="14">
        <f t="shared" si="19"/>
        <v>-299154.28571426001</v>
      </c>
      <c r="BK51" s="13">
        <f t="shared" si="20"/>
        <v>-0.7135471091201474</v>
      </c>
      <c r="BL51" s="17"/>
      <c r="BM51" s="16"/>
      <c r="BN51" s="15" t="s">
        <v>2</v>
      </c>
      <c r="BO51" s="12">
        <v>6</v>
      </c>
      <c r="BP51" s="14">
        <v>212457.14285711999</v>
      </c>
      <c r="BQ51" s="12">
        <f t="shared" si="21"/>
        <v>2</v>
      </c>
      <c r="BR51" s="14">
        <f t="shared" si="22"/>
        <v>92361.904761889993</v>
      </c>
      <c r="BS51" s="13">
        <f t="shared" si="23"/>
        <v>0.76907216494838249</v>
      </c>
      <c r="BU51" s="16"/>
      <c r="BV51" s="15" t="s">
        <v>2</v>
      </c>
      <c r="BW51" s="12">
        <v>9</v>
      </c>
      <c r="BX51" s="14">
        <v>296319.99999995995</v>
      </c>
      <c r="BY51" s="12">
        <f t="shared" si="24"/>
        <v>3</v>
      </c>
      <c r="BZ51" s="14">
        <f t="shared" si="25"/>
        <v>83862.857142839959</v>
      </c>
      <c r="CA51" s="13">
        <f t="shared" si="26"/>
        <v>0.39472834857446404</v>
      </c>
      <c r="CC51" s="16"/>
      <c r="CD51" s="15" t="s">
        <v>2</v>
      </c>
      <c r="CE51" s="12">
        <v>7</v>
      </c>
      <c r="CF51" s="14">
        <v>243619.04761903</v>
      </c>
      <c r="CG51" s="12">
        <f t="shared" si="27"/>
        <v>-2</v>
      </c>
      <c r="CH51" s="14">
        <f t="shared" si="28"/>
        <v>-52700.952380929957</v>
      </c>
      <c r="CI51" s="13">
        <f t="shared" si="29"/>
        <v>-0.1778514861667693</v>
      </c>
      <c r="CK51" s="16"/>
      <c r="CL51" s="15" t="s">
        <v>2</v>
      </c>
      <c r="CM51" s="12">
        <v>86</v>
      </c>
      <c r="CN51" s="14">
        <v>3063238.0952379904</v>
      </c>
      <c r="CO51" s="12">
        <f t="shared" si="30"/>
        <v>79</v>
      </c>
      <c r="CP51" s="14">
        <f t="shared" si="31"/>
        <v>2819619.0476189605</v>
      </c>
      <c r="CQ51" s="13">
        <f t="shared" si="32"/>
        <v>11.573885848319479</v>
      </c>
      <c r="CS51" s="16"/>
      <c r="CT51" s="15" t="s">
        <v>2</v>
      </c>
      <c r="CU51" s="12">
        <v>147</v>
      </c>
      <c r="CV51" s="14">
        <v>5763142.8571427707</v>
      </c>
      <c r="CW51" s="12">
        <f t="shared" si="33"/>
        <v>61</v>
      </c>
      <c r="CX51" s="14">
        <f t="shared" si="34"/>
        <v>2699904.7619047803</v>
      </c>
      <c r="CY51" s="13">
        <f t="shared" si="35"/>
        <v>0.88138913070517233</v>
      </c>
    </row>
    <row r="52" spans="1:103" s="2" customFormat="1" ht="20" customHeight="1">
      <c r="A52" s="11" t="s">
        <v>11</v>
      </c>
      <c r="B52" s="11"/>
      <c r="C52" s="10">
        <v>200</v>
      </c>
      <c r="D52" s="9">
        <v>1070592.38095183</v>
      </c>
      <c r="E52" s="10" t="e">
        <f>C52-#REF!</f>
        <v>#REF!</v>
      </c>
      <c r="F52" s="9" t="e">
        <f>D52-#REF!</f>
        <v>#REF!</v>
      </c>
      <c r="G52" s="8" t="e">
        <f>(D52-#REF!)/#REF!</f>
        <v>#REF!</v>
      </c>
      <c r="I52" s="11" t="s">
        <v>11</v>
      </c>
      <c r="J52" s="11"/>
      <c r="K52" s="10">
        <v>186</v>
      </c>
      <c r="L52" s="9">
        <v>1026222.8571423599</v>
      </c>
      <c r="M52" s="10">
        <f t="shared" si="42"/>
        <v>-14</v>
      </c>
      <c r="N52" s="9">
        <f t="shared" si="43"/>
        <v>-44369.523809470003</v>
      </c>
      <c r="O52" s="8">
        <f t="shared" si="44"/>
        <v>-4.1443900217207279E-2</v>
      </c>
      <c r="Q52" s="11" t="s">
        <v>11</v>
      </c>
      <c r="R52" s="11"/>
      <c r="S52" s="10">
        <v>205</v>
      </c>
      <c r="T52" s="9">
        <v>891631.42857094994</v>
      </c>
      <c r="U52" s="10">
        <f t="shared" si="3"/>
        <v>19</v>
      </c>
      <c r="V52" s="9">
        <f t="shared" si="4"/>
        <v>-134591.42857141001</v>
      </c>
      <c r="W52" s="8">
        <f t="shared" si="5"/>
        <v>-0.13115224206386897</v>
      </c>
      <c r="Y52" s="11" t="s">
        <v>11</v>
      </c>
      <c r="Z52" s="11"/>
      <c r="AA52" s="10">
        <v>179</v>
      </c>
      <c r="AB52" s="9">
        <v>766277.14285663993</v>
      </c>
      <c r="AC52" s="10">
        <f t="shared" si="6"/>
        <v>-26</v>
      </c>
      <c r="AD52" s="9">
        <f t="shared" si="7"/>
        <v>-125354.28571431001</v>
      </c>
      <c r="AE52" s="8">
        <f t="shared" si="8"/>
        <v>-0.14058980167984866</v>
      </c>
      <c r="AG52" s="11" t="s">
        <v>11</v>
      </c>
      <c r="AH52" s="11"/>
      <c r="AI52" s="10">
        <v>167</v>
      </c>
      <c r="AJ52" s="9">
        <v>1019523.8095233699</v>
      </c>
      <c r="AK52" s="10">
        <f t="shared" si="9"/>
        <v>-12</v>
      </c>
      <c r="AL52" s="9">
        <f t="shared" si="10"/>
        <v>253246.66666672996</v>
      </c>
      <c r="AM52" s="8">
        <f t="shared" si="11"/>
        <v>0.33048965250697682</v>
      </c>
      <c r="AO52" s="11" t="s">
        <v>11</v>
      </c>
      <c r="AP52" s="11"/>
      <c r="AQ52" s="10">
        <v>210</v>
      </c>
      <c r="AR52" s="9">
        <v>889589.52380892984</v>
      </c>
      <c r="AS52" s="10">
        <f t="shared" si="12"/>
        <v>43</v>
      </c>
      <c r="AT52" s="9">
        <f t="shared" si="13"/>
        <v>-129934.28571444005</v>
      </c>
      <c r="AU52" s="8">
        <f t="shared" si="14"/>
        <v>-0.127446053246353</v>
      </c>
      <c r="AW52" s="11" t="s">
        <v>11</v>
      </c>
      <c r="AX52" s="11"/>
      <c r="AY52" s="10">
        <v>173</v>
      </c>
      <c r="AZ52" s="9">
        <v>976619.04761850997</v>
      </c>
      <c r="BA52" s="10">
        <f t="shared" si="15"/>
        <v>-37</v>
      </c>
      <c r="BB52" s="9">
        <f t="shared" si="16"/>
        <v>87029.523809580132</v>
      </c>
      <c r="BC52" s="8">
        <f t="shared" si="17"/>
        <v>9.7831102413333648E-2</v>
      </c>
      <c r="BE52" s="11" t="s">
        <v>11</v>
      </c>
      <c r="BF52" s="11"/>
      <c r="BG52" s="10">
        <v>149</v>
      </c>
      <c r="BH52" s="9">
        <v>513409.04761865997</v>
      </c>
      <c r="BI52" s="10">
        <f t="shared" si="18"/>
        <v>-24</v>
      </c>
      <c r="BJ52" s="9">
        <f t="shared" si="19"/>
        <v>-463209.99999985</v>
      </c>
      <c r="BK52" s="8">
        <f t="shared" si="20"/>
        <v>-0.47429957579609955</v>
      </c>
      <c r="BL52" s="7"/>
      <c r="BM52" s="11" t="s">
        <v>11</v>
      </c>
      <c r="BN52" s="11"/>
      <c r="BO52" s="10">
        <v>213</v>
      </c>
      <c r="BP52" s="9">
        <v>985370.95238042006</v>
      </c>
      <c r="BQ52" s="10">
        <f t="shared" si="21"/>
        <v>64</v>
      </c>
      <c r="BR52" s="9">
        <f t="shared" si="22"/>
        <v>471961.90476176009</v>
      </c>
      <c r="BS52" s="8">
        <f t="shared" si="23"/>
        <v>0.9192707198107557</v>
      </c>
      <c r="BU52" s="11" t="s">
        <v>11</v>
      </c>
      <c r="BV52" s="11"/>
      <c r="BW52" s="10">
        <v>168</v>
      </c>
      <c r="BX52" s="9">
        <v>968476.19047572999</v>
      </c>
      <c r="BY52" s="10">
        <f t="shared" si="24"/>
        <v>-45</v>
      </c>
      <c r="BZ52" s="9">
        <f t="shared" si="25"/>
        <v>-16894.761904690065</v>
      </c>
      <c r="CA52" s="8">
        <f t="shared" si="26"/>
        <v>-1.7145585491307989E-2</v>
      </c>
      <c r="CC52" s="11" t="s">
        <v>11</v>
      </c>
      <c r="CD52" s="11"/>
      <c r="CE52" s="10">
        <v>185</v>
      </c>
      <c r="CF52" s="9">
        <v>793929.52380908013</v>
      </c>
      <c r="CG52" s="10">
        <f t="shared" si="27"/>
        <v>17</v>
      </c>
      <c r="CH52" s="9">
        <f t="shared" si="28"/>
        <v>-174546.66666664986</v>
      </c>
      <c r="CI52" s="8">
        <f t="shared" si="29"/>
        <v>-0.18022814436037909</v>
      </c>
      <c r="CK52" s="11" t="s">
        <v>11</v>
      </c>
      <c r="CL52" s="11"/>
      <c r="CM52" s="10">
        <v>370</v>
      </c>
      <c r="CN52" s="9">
        <v>4000539.9999993006</v>
      </c>
      <c r="CO52" s="10">
        <f t="shared" si="30"/>
        <v>185</v>
      </c>
      <c r="CP52" s="9">
        <f t="shared" si="31"/>
        <v>3206610.4761902206</v>
      </c>
      <c r="CQ52" s="8">
        <f t="shared" si="32"/>
        <v>4.038910734551961</v>
      </c>
      <c r="CS52" s="11" t="s">
        <v>11</v>
      </c>
      <c r="CT52" s="11"/>
      <c r="CU52" s="10">
        <v>562</v>
      </c>
      <c r="CV52" s="9">
        <v>6790472.3809513208</v>
      </c>
      <c r="CW52" s="10">
        <f t="shared" si="33"/>
        <v>192</v>
      </c>
      <c r="CX52" s="9">
        <f t="shared" si="34"/>
        <v>2789932.3809520202</v>
      </c>
      <c r="CY52" s="8">
        <f t="shared" si="35"/>
        <v>0.69738894773018345</v>
      </c>
    </row>
    <row r="53" spans="1:103" s="2" customFormat="1" ht="20" customHeight="1">
      <c r="A53" s="37">
        <v>84</v>
      </c>
      <c r="B53" s="31" t="s">
        <v>32</v>
      </c>
      <c r="D53" s="34"/>
      <c r="F53" s="34"/>
      <c r="G53" s="7"/>
      <c r="I53" s="37">
        <v>84</v>
      </c>
      <c r="J53" s="31" t="s">
        <v>32</v>
      </c>
      <c r="L53" s="34"/>
      <c r="M53" s="12">
        <f t="shared" si="42"/>
        <v>0</v>
      </c>
      <c r="N53" s="14">
        <f t="shared" si="43"/>
        <v>0</v>
      </c>
      <c r="O53" s="13" t="e">
        <f t="shared" si="44"/>
        <v>#DIV/0!</v>
      </c>
      <c r="Q53" s="37">
        <v>84</v>
      </c>
      <c r="R53" s="31" t="s">
        <v>32</v>
      </c>
      <c r="T53" s="34"/>
      <c r="U53" s="12">
        <f t="shared" si="3"/>
        <v>0</v>
      </c>
      <c r="V53" s="14">
        <f t="shared" si="4"/>
        <v>0</v>
      </c>
      <c r="W53" s="13" t="e">
        <f t="shared" si="5"/>
        <v>#DIV/0!</v>
      </c>
      <c r="Y53" s="37">
        <v>84</v>
      </c>
      <c r="Z53" s="31" t="s">
        <v>32</v>
      </c>
      <c r="AB53" s="34"/>
      <c r="AC53" s="12">
        <f t="shared" si="6"/>
        <v>0</v>
      </c>
      <c r="AD53" s="14">
        <f t="shared" si="7"/>
        <v>0</v>
      </c>
      <c r="AE53" s="13" t="e">
        <f t="shared" si="8"/>
        <v>#DIV/0!</v>
      </c>
      <c r="AG53" s="37">
        <v>84</v>
      </c>
      <c r="AH53" s="31" t="s">
        <v>32</v>
      </c>
      <c r="AJ53" s="34"/>
      <c r="AK53" s="12">
        <f t="shared" si="9"/>
        <v>0</v>
      </c>
      <c r="AL53" s="14">
        <f t="shared" si="10"/>
        <v>0</v>
      </c>
      <c r="AM53" s="13" t="e">
        <f t="shared" si="11"/>
        <v>#DIV/0!</v>
      </c>
      <c r="AO53" s="37">
        <v>84</v>
      </c>
      <c r="AP53" s="31" t="s">
        <v>32</v>
      </c>
      <c r="AR53" s="34"/>
      <c r="AS53" s="12">
        <f t="shared" si="12"/>
        <v>0</v>
      </c>
      <c r="AT53" s="14">
        <f t="shared" si="13"/>
        <v>0</v>
      </c>
      <c r="AU53" s="13" t="e">
        <f t="shared" si="14"/>
        <v>#DIV/0!</v>
      </c>
      <c r="AW53" s="37">
        <v>84</v>
      </c>
      <c r="AX53" s="31" t="s">
        <v>32</v>
      </c>
      <c r="AZ53" s="34"/>
      <c r="BA53" s="12">
        <f t="shared" si="15"/>
        <v>0</v>
      </c>
      <c r="BB53" s="14">
        <f t="shared" si="16"/>
        <v>0</v>
      </c>
      <c r="BC53" s="13" t="e">
        <f t="shared" si="17"/>
        <v>#DIV/0!</v>
      </c>
      <c r="BE53" s="37">
        <v>84</v>
      </c>
      <c r="BF53" s="31" t="s">
        <v>32</v>
      </c>
      <c r="BH53" s="34"/>
      <c r="BI53" s="12">
        <f t="shared" si="18"/>
        <v>0</v>
      </c>
      <c r="BJ53" s="14">
        <f t="shared" si="19"/>
        <v>0</v>
      </c>
      <c r="BK53" s="13" t="e">
        <f t="shared" si="20"/>
        <v>#DIV/0!</v>
      </c>
      <c r="BL53" s="7"/>
      <c r="BM53" s="37">
        <v>84</v>
      </c>
      <c r="BN53" s="31" t="s">
        <v>32</v>
      </c>
      <c r="BP53" s="34"/>
      <c r="BQ53" s="12">
        <f t="shared" si="21"/>
        <v>0</v>
      </c>
      <c r="BR53" s="14">
        <f t="shared" si="22"/>
        <v>0</v>
      </c>
      <c r="BS53" s="13" t="e">
        <f t="shared" si="23"/>
        <v>#DIV/0!</v>
      </c>
      <c r="BU53" s="37">
        <v>84</v>
      </c>
      <c r="BV53" s="31" t="s">
        <v>32</v>
      </c>
      <c r="BX53" s="34"/>
      <c r="BY53" s="12">
        <f t="shared" si="24"/>
        <v>0</v>
      </c>
      <c r="BZ53" s="14">
        <f t="shared" si="25"/>
        <v>0</v>
      </c>
      <c r="CA53" s="13" t="e">
        <f t="shared" si="26"/>
        <v>#DIV/0!</v>
      </c>
      <c r="CC53" s="37">
        <v>84</v>
      </c>
      <c r="CD53" s="31" t="s">
        <v>32</v>
      </c>
      <c r="CF53" s="34"/>
      <c r="CG53" s="12">
        <f t="shared" si="27"/>
        <v>0</v>
      </c>
      <c r="CH53" s="14">
        <f t="shared" si="28"/>
        <v>0</v>
      </c>
      <c r="CI53" s="13" t="e">
        <f t="shared" si="29"/>
        <v>#DIV/0!</v>
      </c>
      <c r="CK53" s="37">
        <v>84</v>
      </c>
      <c r="CL53" s="31" t="s">
        <v>32</v>
      </c>
      <c r="CN53" s="34"/>
      <c r="CO53" s="12">
        <f t="shared" si="30"/>
        <v>0</v>
      </c>
      <c r="CP53" s="14">
        <f t="shared" si="31"/>
        <v>0</v>
      </c>
      <c r="CQ53" s="13" t="e">
        <f t="shared" si="32"/>
        <v>#DIV/0!</v>
      </c>
      <c r="CS53" s="37">
        <v>84</v>
      </c>
      <c r="CT53" s="31" t="s">
        <v>32</v>
      </c>
      <c r="CV53" s="34"/>
      <c r="CW53" s="12">
        <f t="shared" si="33"/>
        <v>0</v>
      </c>
      <c r="CX53" s="14">
        <f t="shared" si="34"/>
        <v>0</v>
      </c>
      <c r="CY53" s="13" t="e">
        <f t="shared" si="35"/>
        <v>#DIV/0!</v>
      </c>
    </row>
    <row r="54" spans="1:103" s="2" customFormat="1" ht="20" customHeight="1">
      <c r="A54" s="37"/>
      <c r="B54" s="31" t="s">
        <v>33</v>
      </c>
      <c r="D54" s="34"/>
      <c r="F54" s="34"/>
      <c r="G54" s="7"/>
      <c r="I54" s="37"/>
      <c r="J54" s="31" t="s">
        <v>33</v>
      </c>
      <c r="L54" s="34"/>
      <c r="M54" s="12">
        <f t="shared" si="42"/>
        <v>0</v>
      </c>
      <c r="N54" s="14">
        <f t="shared" si="43"/>
        <v>0</v>
      </c>
      <c r="O54" s="13" t="e">
        <f t="shared" si="44"/>
        <v>#DIV/0!</v>
      </c>
      <c r="Q54" s="37"/>
      <c r="R54" s="31" t="s">
        <v>33</v>
      </c>
      <c r="T54" s="34"/>
      <c r="U54" s="12">
        <f t="shared" si="3"/>
        <v>0</v>
      </c>
      <c r="V54" s="14">
        <f t="shared" si="4"/>
        <v>0</v>
      </c>
      <c r="W54" s="13" t="e">
        <f t="shared" si="5"/>
        <v>#DIV/0!</v>
      </c>
      <c r="Y54" s="37"/>
      <c r="Z54" s="31" t="s">
        <v>33</v>
      </c>
      <c r="AA54" s="2">
        <v>0</v>
      </c>
      <c r="AB54" s="34"/>
      <c r="AC54" s="12">
        <f t="shared" si="6"/>
        <v>0</v>
      </c>
      <c r="AD54" s="14">
        <f t="shared" si="7"/>
        <v>0</v>
      </c>
      <c r="AE54" s="13" t="e">
        <f t="shared" si="8"/>
        <v>#DIV/0!</v>
      </c>
      <c r="AG54" s="37"/>
      <c r="AH54" s="31" t="s">
        <v>33</v>
      </c>
      <c r="AI54" s="2">
        <v>1</v>
      </c>
      <c r="AJ54" s="34"/>
      <c r="AK54" s="12">
        <f t="shared" si="9"/>
        <v>1</v>
      </c>
      <c r="AL54" s="14">
        <f t="shared" si="10"/>
        <v>0</v>
      </c>
      <c r="AM54" s="13" t="e">
        <f t="shared" si="11"/>
        <v>#DIV/0!</v>
      </c>
      <c r="AO54" s="37"/>
      <c r="AP54" s="31" t="s">
        <v>33</v>
      </c>
      <c r="AQ54" s="2">
        <v>1</v>
      </c>
      <c r="AR54" s="34"/>
      <c r="AS54" s="12">
        <f t="shared" si="12"/>
        <v>0</v>
      </c>
      <c r="AT54" s="14">
        <f t="shared" si="13"/>
        <v>0</v>
      </c>
      <c r="AU54" s="13" t="e">
        <f t="shared" si="14"/>
        <v>#DIV/0!</v>
      </c>
      <c r="AW54" s="37"/>
      <c r="AX54" s="31" t="s">
        <v>33</v>
      </c>
      <c r="AY54" s="2">
        <v>0</v>
      </c>
      <c r="AZ54" s="34"/>
      <c r="BA54" s="12">
        <f t="shared" si="15"/>
        <v>-1</v>
      </c>
      <c r="BB54" s="14">
        <f t="shared" si="16"/>
        <v>0</v>
      </c>
      <c r="BC54" s="13" t="e">
        <f t="shared" si="17"/>
        <v>#DIV/0!</v>
      </c>
      <c r="BE54" s="37"/>
      <c r="BF54" s="31" t="s">
        <v>33</v>
      </c>
      <c r="BG54" s="2">
        <v>0</v>
      </c>
      <c r="BH54" s="34"/>
      <c r="BI54" s="12">
        <f t="shared" si="18"/>
        <v>0</v>
      </c>
      <c r="BJ54" s="14">
        <f t="shared" si="19"/>
        <v>0</v>
      </c>
      <c r="BK54" s="13" t="e">
        <f t="shared" si="20"/>
        <v>#DIV/0!</v>
      </c>
      <c r="BL54" s="7"/>
      <c r="BM54" s="37"/>
      <c r="BN54" s="31" t="s">
        <v>33</v>
      </c>
      <c r="BO54" s="2">
        <v>0</v>
      </c>
      <c r="BP54" s="34"/>
      <c r="BQ54" s="12">
        <f t="shared" si="21"/>
        <v>0</v>
      </c>
      <c r="BR54" s="14">
        <f t="shared" si="22"/>
        <v>0</v>
      </c>
      <c r="BS54" s="13" t="e">
        <f t="shared" si="23"/>
        <v>#DIV/0!</v>
      </c>
      <c r="BU54" s="37"/>
      <c r="BV54" s="31" t="s">
        <v>33</v>
      </c>
      <c r="BW54" s="2">
        <v>0</v>
      </c>
      <c r="BX54" s="34"/>
      <c r="BY54" s="12">
        <f t="shared" si="24"/>
        <v>0</v>
      </c>
      <c r="BZ54" s="14">
        <f t="shared" si="25"/>
        <v>0</v>
      </c>
      <c r="CA54" s="13" t="e">
        <f t="shared" si="26"/>
        <v>#DIV/0!</v>
      </c>
      <c r="CC54" s="37"/>
      <c r="CD54" s="31" t="s">
        <v>33</v>
      </c>
      <c r="CE54" s="2">
        <v>0</v>
      </c>
      <c r="CF54" s="34"/>
      <c r="CG54" s="12">
        <f t="shared" si="27"/>
        <v>0</v>
      </c>
      <c r="CH54" s="14">
        <f t="shared" si="28"/>
        <v>0</v>
      </c>
      <c r="CI54" s="13" t="e">
        <f t="shared" si="29"/>
        <v>#DIV/0!</v>
      </c>
      <c r="CK54" s="37"/>
      <c r="CL54" s="31" t="s">
        <v>33</v>
      </c>
      <c r="CM54" s="2">
        <v>2</v>
      </c>
      <c r="CN54" s="34"/>
      <c r="CO54" s="12">
        <f t="shared" si="30"/>
        <v>2</v>
      </c>
      <c r="CP54" s="14">
        <f t="shared" si="31"/>
        <v>0</v>
      </c>
      <c r="CQ54" s="13" t="e">
        <f t="shared" si="32"/>
        <v>#DIV/0!</v>
      </c>
      <c r="CS54" s="37"/>
      <c r="CT54" s="31" t="s">
        <v>33</v>
      </c>
      <c r="CU54" s="2">
        <v>16</v>
      </c>
      <c r="CV54" s="34"/>
      <c r="CW54" s="12">
        <f t="shared" si="33"/>
        <v>14</v>
      </c>
      <c r="CX54" s="14">
        <f t="shared" si="34"/>
        <v>0</v>
      </c>
      <c r="CY54" s="13" t="e">
        <f t="shared" si="35"/>
        <v>#DIV/0!</v>
      </c>
    </row>
    <row r="55" spans="1:103" s="12" customFormat="1" ht="20" customHeight="1">
      <c r="A55" s="37"/>
      <c r="B55" s="15" t="s">
        <v>10</v>
      </c>
      <c r="C55" s="12">
        <v>71</v>
      </c>
      <c r="D55" s="14">
        <v>77054.285713960009</v>
      </c>
      <c r="E55" s="12" t="e">
        <f>C55-#REF!</f>
        <v>#REF!</v>
      </c>
      <c r="F55" s="14" t="e">
        <f>D55-#REF!</f>
        <v>#REF!</v>
      </c>
      <c r="G55" s="13" t="e">
        <f>(D55-#REF!)/#REF!</f>
        <v>#REF!</v>
      </c>
      <c r="I55" s="37"/>
      <c r="J55" s="15" t="s">
        <v>10</v>
      </c>
      <c r="K55" s="12">
        <v>73</v>
      </c>
      <c r="L55" s="14">
        <v>65494.285713979996</v>
      </c>
      <c r="M55" s="12">
        <f t="shared" si="42"/>
        <v>2</v>
      </c>
      <c r="N55" s="14">
        <f t="shared" si="43"/>
        <v>-11559.999999980013</v>
      </c>
      <c r="O55" s="13">
        <f t="shared" si="44"/>
        <v>-0.15002410174682437</v>
      </c>
      <c r="Q55" s="37"/>
      <c r="R55" s="15" t="s">
        <v>10</v>
      </c>
      <c r="S55" s="12">
        <v>134</v>
      </c>
      <c r="T55" s="14">
        <v>117930.47618994999</v>
      </c>
      <c r="U55" s="12">
        <f t="shared" si="3"/>
        <v>61</v>
      </c>
      <c r="V55" s="14">
        <f t="shared" si="4"/>
        <v>52436.19047596999</v>
      </c>
      <c r="W55" s="13">
        <f t="shared" si="5"/>
        <v>0.80062237345352549</v>
      </c>
      <c r="Y55" s="37"/>
      <c r="Z55" s="15" t="s">
        <v>10</v>
      </c>
      <c r="AA55" s="12">
        <v>86</v>
      </c>
      <c r="AB55" s="14">
        <v>68288.571428259995</v>
      </c>
      <c r="AC55" s="12">
        <f t="shared" si="6"/>
        <v>-48</v>
      </c>
      <c r="AD55" s="14">
        <f t="shared" si="7"/>
        <v>-49641.904761689992</v>
      </c>
      <c r="AE55" s="13">
        <f t="shared" si="8"/>
        <v>-0.42094212086222771</v>
      </c>
      <c r="AG55" s="37"/>
      <c r="AH55" s="15" t="s">
        <v>10</v>
      </c>
      <c r="AI55" s="12">
        <v>74</v>
      </c>
      <c r="AJ55" s="14">
        <v>69267.619047360015</v>
      </c>
      <c r="AK55" s="12">
        <f t="shared" si="9"/>
        <v>-12</v>
      </c>
      <c r="AL55" s="14">
        <f t="shared" si="10"/>
        <v>979.0476191000198</v>
      </c>
      <c r="AM55" s="13">
        <f t="shared" si="11"/>
        <v>1.4336917563556742E-2</v>
      </c>
      <c r="AO55" s="37"/>
      <c r="AP55" s="15" t="s">
        <v>10</v>
      </c>
      <c r="AQ55" s="12">
        <v>116</v>
      </c>
      <c r="AR55" s="14">
        <v>93536.190475749943</v>
      </c>
      <c r="AS55" s="12">
        <f t="shared" si="12"/>
        <v>42</v>
      </c>
      <c r="AT55" s="14">
        <f t="shared" si="13"/>
        <v>24268.571428389929</v>
      </c>
      <c r="AU55" s="13">
        <f t="shared" si="14"/>
        <v>0.35035954407205616</v>
      </c>
      <c r="AW55" s="37"/>
      <c r="AX55" s="15" t="s">
        <v>10</v>
      </c>
      <c r="AY55" s="12">
        <v>78</v>
      </c>
      <c r="AZ55" s="14">
        <v>75372.380952079999</v>
      </c>
      <c r="BA55" s="12">
        <f t="shared" si="15"/>
        <v>-38</v>
      </c>
      <c r="BB55" s="14">
        <f t="shared" si="16"/>
        <v>-18163.809523669945</v>
      </c>
      <c r="BC55" s="13">
        <f t="shared" si="17"/>
        <v>-0.19419017848903167</v>
      </c>
      <c r="BE55" s="37"/>
      <c r="BF55" s="15" t="s">
        <v>10</v>
      </c>
      <c r="BG55" s="12">
        <v>77</v>
      </c>
      <c r="BH55" s="14">
        <v>65228.571428260002</v>
      </c>
      <c r="BI55" s="12">
        <f t="shared" si="18"/>
        <v>-1</v>
      </c>
      <c r="BJ55" s="14">
        <f t="shared" si="19"/>
        <v>-10143.809523819997</v>
      </c>
      <c r="BK55" s="13">
        <f t="shared" si="20"/>
        <v>-0.13458258045834048</v>
      </c>
      <c r="BL55" s="17"/>
      <c r="BM55" s="37"/>
      <c r="BN55" s="15" t="s">
        <v>10</v>
      </c>
      <c r="BO55" s="12">
        <v>74</v>
      </c>
      <c r="BP55" s="14">
        <v>67197.142856810009</v>
      </c>
      <c r="BQ55" s="12">
        <f t="shared" si="21"/>
        <v>-3</v>
      </c>
      <c r="BR55" s="14">
        <f t="shared" si="22"/>
        <v>1968.5714285500071</v>
      </c>
      <c r="BS55" s="13">
        <f t="shared" si="23"/>
        <v>3.0179588260875693E-2</v>
      </c>
      <c r="BU55" s="37"/>
      <c r="BV55" s="15" t="s">
        <v>10</v>
      </c>
      <c r="BW55" s="12">
        <v>65</v>
      </c>
      <c r="BX55" s="14">
        <v>58790.47619018003</v>
      </c>
      <c r="BY55" s="12">
        <f t="shared" si="24"/>
        <v>-9</v>
      </c>
      <c r="BZ55" s="14">
        <f t="shared" si="25"/>
        <v>-8406.6666666299789</v>
      </c>
      <c r="CA55" s="13">
        <f t="shared" si="26"/>
        <v>-0.12510452541923836</v>
      </c>
      <c r="CC55" s="37"/>
      <c r="CD55" s="15" t="s">
        <v>10</v>
      </c>
      <c r="CE55" s="12">
        <v>59</v>
      </c>
      <c r="CF55" s="14">
        <v>54485.714285470021</v>
      </c>
      <c r="CG55" s="12">
        <f t="shared" si="27"/>
        <v>-6</v>
      </c>
      <c r="CH55" s="14">
        <f t="shared" si="28"/>
        <v>-4304.7619047100088</v>
      </c>
      <c r="CI55" s="13">
        <f t="shared" si="29"/>
        <v>-7.3222096224984268E-2</v>
      </c>
      <c r="CK55" s="37"/>
      <c r="CL55" s="15" t="s">
        <v>10</v>
      </c>
      <c r="CM55" s="12">
        <v>87</v>
      </c>
      <c r="CN55" s="14">
        <v>79240.952380629955</v>
      </c>
      <c r="CO55" s="12">
        <f t="shared" si="30"/>
        <v>28</v>
      </c>
      <c r="CP55" s="14">
        <f t="shared" si="31"/>
        <v>24755.238095159933</v>
      </c>
      <c r="CQ55" s="13">
        <f t="shared" si="32"/>
        <v>0.45434364621629886</v>
      </c>
      <c r="CS55" s="37"/>
      <c r="CT55" s="15" t="s">
        <v>10</v>
      </c>
      <c r="CU55" s="12">
        <v>252</v>
      </c>
      <c r="CV55" s="14">
        <v>217626.6666658899</v>
      </c>
      <c r="CW55" s="12">
        <f t="shared" si="33"/>
        <v>165</v>
      </c>
      <c r="CX55" s="14">
        <f t="shared" si="34"/>
        <v>138385.71428525995</v>
      </c>
      <c r="CY55" s="13">
        <f t="shared" si="35"/>
        <v>1.7463913560822828</v>
      </c>
    </row>
    <row r="56" spans="1:103" s="12" customFormat="1" ht="20" customHeight="1">
      <c r="A56" s="37"/>
      <c r="B56" s="15" t="s">
        <v>9</v>
      </c>
      <c r="C56" s="12">
        <v>72</v>
      </c>
      <c r="D56" s="14">
        <v>78171.428571330005</v>
      </c>
      <c r="E56" s="12" t="e">
        <f>C56-#REF!</f>
        <v>#REF!</v>
      </c>
      <c r="F56" s="14" t="e">
        <f>D56-#REF!</f>
        <v>#REF!</v>
      </c>
      <c r="G56" s="13" t="e">
        <f>(D56-#REF!)/#REF!</f>
        <v>#REF!</v>
      </c>
      <c r="I56" s="37"/>
      <c r="J56" s="15" t="s">
        <v>9</v>
      </c>
      <c r="K56" s="12">
        <v>73</v>
      </c>
      <c r="L56" s="14">
        <v>57715.238095159999</v>
      </c>
      <c r="M56" s="12">
        <f t="shared" si="42"/>
        <v>1</v>
      </c>
      <c r="N56" s="14">
        <f t="shared" si="43"/>
        <v>-20456.190476170006</v>
      </c>
      <c r="O56" s="13">
        <f t="shared" si="44"/>
        <v>-0.26168372319694921</v>
      </c>
      <c r="Q56" s="37"/>
      <c r="R56" s="15" t="s">
        <v>9</v>
      </c>
      <c r="S56" s="12">
        <v>86</v>
      </c>
      <c r="T56" s="14">
        <v>85544.761904679995</v>
      </c>
      <c r="U56" s="12">
        <f t="shared" si="3"/>
        <v>13</v>
      </c>
      <c r="V56" s="14">
        <f t="shared" si="4"/>
        <v>27829.523809519997</v>
      </c>
      <c r="W56" s="13">
        <f t="shared" si="5"/>
        <v>0.48218676259526305</v>
      </c>
      <c r="Y56" s="37"/>
      <c r="Z56" s="15" t="s">
        <v>9</v>
      </c>
      <c r="AA56" s="12">
        <v>62</v>
      </c>
      <c r="AB56" s="14">
        <v>65599.999999900014</v>
      </c>
      <c r="AC56" s="12">
        <f t="shared" si="6"/>
        <v>-24</v>
      </c>
      <c r="AD56" s="14">
        <f t="shared" si="7"/>
        <v>-19944.761904779982</v>
      </c>
      <c r="AE56" s="13">
        <f t="shared" si="8"/>
        <v>-0.23315000779362555</v>
      </c>
      <c r="AG56" s="37"/>
      <c r="AH56" s="15" t="s">
        <v>9</v>
      </c>
      <c r="AI56" s="12">
        <v>72</v>
      </c>
      <c r="AJ56" s="14">
        <v>73565.714285640002</v>
      </c>
      <c r="AK56" s="12">
        <f t="shared" si="9"/>
        <v>10</v>
      </c>
      <c r="AL56" s="14">
        <f t="shared" si="10"/>
        <v>7965.7142857399886</v>
      </c>
      <c r="AM56" s="13">
        <f t="shared" si="11"/>
        <v>0.12142857142914831</v>
      </c>
      <c r="AO56" s="37"/>
      <c r="AP56" s="15" t="s">
        <v>9</v>
      </c>
      <c r="AQ56" s="12">
        <v>50</v>
      </c>
      <c r="AR56" s="14">
        <v>75428.571428499999</v>
      </c>
      <c r="AS56" s="12">
        <f t="shared" si="12"/>
        <v>-22</v>
      </c>
      <c r="AT56" s="14">
        <f t="shared" si="13"/>
        <v>1862.8571428599971</v>
      </c>
      <c r="AU56" s="13">
        <f t="shared" si="14"/>
        <v>2.5322355134443739E-2</v>
      </c>
      <c r="AW56" s="37"/>
      <c r="AX56" s="15" t="s">
        <v>9</v>
      </c>
      <c r="AY56" s="12">
        <v>66</v>
      </c>
      <c r="AZ56" s="14">
        <v>65276.190476100004</v>
      </c>
      <c r="BA56" s="12">
        <f t="shared" si="15"/>
        <v>16</v>
      </c>
      <c r="BB56" s="14">
        <f t="shared" si="16"/>
        <v>-10152.380952399995</v>
      </c>
      <c r="BC56" s="13">
        <f t="shared" si="17"/>
        <v>-0.13459595959633952</v>
      </c>
      <c r="BE56" s="37"/>
      <c r="BF56" s="15" t="s">
        <v>9</v>
      </c>
      <c r="BG56" s="12">
        <v>79</v>
      </c>
      <c r="BH56" s="14">
        <v>76409.523809440012</v>
      </c>
      <c r="BI56" s="12">
        <f t="shared" si="18"/>
        <v>13</v>
      </c>
      <c r="BJ56" s="14">
        <f t="shared" si="19"/>
        <v>11133.333333340008</v>
      </c>
      <c r="BK56" s="13">
        <f t="shared" si="20"/>
        <v>0.17055733878061294</v>
      </c>
      <c r="BL56" s="17"/>
      <c r="BM56" s="37"/>
      <c r="BN56" s="15" t="s">
        <v>9</v>
      </c>
      <c r="BO56" s="12">
        <v>72</v>
      </c>
      <c r="BP56" s="14">
        <v>93419.04761894999</v>
      </c>
      <c r="BQ56" s="12">
        <f t="shared" si="21"/>
        <v>-7</v>
      </c>
      <c r="BR56" s="14">
        <f t="shared" si="22"/>
        <v>17009.523809509978</v>
      </c>
      <c r="BS56" s="13">
        <f t="shared" si="23"/>
        <v>0.22260999626081346</v>
      </c>
      <c r="BU56" s="37"/>
      <c r="BV56" s="15" t="s">
        <v>9</v>
      </c>
      <c r="BW56" s="12">
        <v>59</v>
      </c>
      <c r="BX56" s="14">
        <v>58009.523809440012</v>
      </c>
      <c r="BY56" s="12">
        <f t="shared" si="24"/>
        <v>-13</v>
      </c>
      <c r="BZ56" s="14">
        <f t="shared" si="25"/>
        <v>-35409.523809509978</v>
      </c>
      <c r="CA56" s="13">
        <f t="shared" si="26"/>
        <v>-0.37903965745768509</v>
      </c>
      <c r="CC56" s="37"/>
      <c r="CD56" s="15" t="s">
        <v>9</v>
      </c>
      <c r="CE56" s="12">
        <v>62</v>
      </c>
      <c r="CF56" s="14">
        <v>68276.190476120013</v>
      </c>
      <c r="CG56" s="12">
        <f t="shared" si="27"/>
        <v>3</v>
      </c>
      <c r="CH56" s="14">
        <f t="shared" si="28"/>
        <v>10266.666666680001</v>
      </c>
      <c r="CI56" s="13">
        <f t="shared" si="29"/>
        <v>0.17698243309849898</v>
      </c>
      <c r="CK56" s="37"/>
      <c r="CL56" s="15" t="s">
        <v>9</v>
      </c>
      <c r="CM56" s="12">
        <v>60</v>
      </c>
      <c r="CN56" s="14">
        <v>70571.428571330005</v>
      </c>
      <c r="CO56" s="12">
        <f t="shared" si="30"/>
        <v>-2</v>
      </c>
      <c r="CP56" s="14">
        <f t="shared" si="31"/>
        <v>2295.238095209992</v>
      </c>
      <c r="CQ56" s="13">
        <f t="shared" si="32"/>
        <v>3.361696191899817E-2</v>
      </c>
      <c r="CS56" s="37"/>
      <c r="CT56" s="15" t="s">
        <v>9</v>
      </c>
      <c r="CU56" s="12">
        <v>117</v>
      </c>
      <c r="CV56" s="14">
        <v>99933.333333219998</v>
      </c>
      <c r="CW56" s="12">
        <f t="shared" si="33"/>
        <v>57</v>
      </c>
      <c r="CX56" s="14">
        <f t="shared" si="34"/>
        <v>29361.904761889993</v>
      </c>
      <c r="CY56" s="13">
        <f t="shared" si="35"/>
        <v>0.4160593792176458</v>
      </c>
    </row>
    <row r="57" spans="1:103" s="12" customFormat="1" ht="20" customHeight="1">
      <c r="A57" s="16"/>
      <c r="B57" s="15" t="s">
        <v>8</v>
      </c>
      <c r="C57" s="12">
        <v>12</v>
      </c>
      <c r="D57" s="14">
        <v>69885.7142857</v>
      </c>
      <c r="E57" s="12" t="e">
        <f>C57-#REF!</f>
        <v>#REF!</v>
      </c>
      <c r="F57" s="14" t="e">
        <f>D57-#REF!</f>
        <v>#REF!</v>
      </c>
      <c r="G57" s="13" t="e">
        <f>(D57-#REF!)/#REF!</f>
        <v>#REF!</v>
      </c>
      <c r="I57" s="16"/>
      <c r="J57" s="15" t="s">
        <v>8</v>
      </c>
      <c r="K57" s="12">
        <v>11</v>
      </c>
      <c r="L57" s="14">
        <v>61038.095238080001</v>
      </c>
      <c r="M57" s="12">
        <f t="shared" si="42"/>
        <v>-1</v>
      </c>
      <c r="N57" s="14">
        <f t="shared" si="43"/>
        <v>-8847.619047619999</v>
      </c>
      <c r="O57" s="13">
        <f t="shared" si="44"/>
        <v>-0.12660125374765466</v>
      </c>
      <c r="Q57" s="16"/>
      <c r="R57" s="15" t="s">
        <v>8</v>
      </c>
      <c r="S57" s="12">
        <v>7</v>
      </c>
      <c r="T57" s="14">
        <v>38219.04761904</v>
      </c>
      <c r="U57" s="12">
        <f t="shared" si="3"/>
        <v>-4</v>
      </c>
      <c r="V57" s="14">
        <f t="shared" si="4"/>
        <v>-22819.04761904</v>
      </c>
      <c r="W57" s="13">
        <f t="shared" si="5"/>
        <v>-0.37384927445776223</v>
      </c>
      <c r="Y57" s="16"/>
      <c r="Z57" s="15" t="s">
        <v>8</v>
      </c>
      <c r="AA57" s="12">
        <v>14</v>
      </c>
      <c r="AB57" s="14">
        <v>75295.238095230001</v>
      </c>
      <c r="AC57" s="12">
        <f t="shared" si="6"/>
        <v>7</v>
      </c>
      <c r="AD57" s="14">
        <f t="shared" si="7"/>
        <v>37076.19047619</v>
      </c>
      <c r="AE57" s="13">
        <f t="shared" si="8"/>
        <v>0.97009718415168855</v>
      </c>
      <c r="AG57" s="16"/>
      <c r="AH57" s="15" t="s">
        <v>8</v>
      </c>
      <c r="AI57" s="12">
        <v>13</v>
      </c>
      <c r="AJ57" s="14">
        <v>101019.04761903</v>
      </c>
      <c r="AK57" s="12">
        <f t="shared" si="9"/>
        <v>-1</v>
      </c>
      <c r="AL57" s="14">
        <f t="shared" si="10"/>
        <v>25723.809523799995</v>
      </c>
      <c r="AM57" s="13">
        <f t="shared" si="11"/>
        <v>0.34163926132042621</v>
      </c>
      <c r="AO57" s="16"/>
      <c r="AP57" s="15" t="s">
        <v>8</v>
      </c>
      <c r="AQ57" s="12">
        <v>16</v>
      </c>
      <c r="AR57" s="14">
        <v>96990.47619044999</v>
      </c>
      <c r="AS57" s="12">
        <f t="shared" si="12"/>
        <v>3</v>
      </c>
      <c r="AT57" s="14">
        <f t="shared" si="13"/>
        <v>-4028.5714285800059</v>
      </c>
      <c r="AU57" s="13">
        <f t="shared" si="14"/>
        <v>-3.9879324974165589E-2</v>
      </c>
      <c r="AW57" s="16"/>
      <c r="AX57" s="15" t="s">
        <v>8</v>
      </c>
      <c r="AY57" s="12">
        <v>6</v>
      </c>
      <c r="AZ57" s="14">
        <v>50419.047619039993</v>
      </c>
      <c r="BA57" s="12">
        <f t="shared" si="15"/>
        <v>-10</v>
      </c>
      <c r="BB57" s="14">
        <f t="shared" si="16"/>
        <v>-46571.428571409997</v>
      </c>
      <c r="BC57" s="13">
        <f t="shared" si="17"/>
        <v>-0.48016496465037023</v>
      </c>
      <c r="BE57" s="16"/>
      <c r="BF57" s="15" t="s">
        <v>8</v>
      </c>
      <c r="BG57" s="12">
        <v>8</v>
      </c>
      <c r="BH57" s="14">
        <v>45352.380952370004</v>
      </c>
      <c r="BI57" s="12">
        <f t="shared" si="18"/>
        <v>2</v>
      </c>
      <c r="BJ57" s="14">
        <f t="shared" si="19"/>
        <v>-5066.6666666699894</v>
      </c>
      <c r="BK57" s="13">
        <f t="shared" si="20"/>
        <v>-0.10049112202501499</v>
      </c>
      <c r="BL57" s="17"/>
      <c r="BM57" s="16"/>
      <c r="BN57" s="15" t="s">
        <v>8</v>
      </c>
      <c r="BO57" s="12">
        <v>15</v>
      </c>
      <c r="BP57" s="14">
        <v>109666.66666664</v>
      </c>
      <c r="BQ57" s="12">
        <f t="shared" si="21"/>
        <v>7</v>
      </c>
      <c r="BR57" s="14">
        <f t="shared" si="22"/>
        <v>64314.285714269994</v>
      </c>
      <c r="BS57" s="13">
        <f t="shared" si="23"/>
        <v>1.4181016379672364</v>
      </c>
      <c r="BU57" s="16"/>
      <c r="BV57" s="15" t="s">
        <v>8</v>
      </c>
      <c r="BW57" s="12">
        <v>10</v>
      </c>
      <c r="BX57" s="14">
        <v>78380.952380930001</v>
      </c>
      <c r="BY57" s="12">
        <f t="shared" si="24"/>
        <v>-5</v>
      </c>
      <c r="BZ57" s="14">
        <f t="shared" si="25"/>
        <v>-31285.714285709997</v>
      </c>
      <c r="CA57" s="13">
        <f t="shared" si="26"/>
        <v>-0.28528006947462864</v>
      </c>
      <c r="CC57" s="16"/>
      <c r="CD57" s="15" t="s">
        <v>8</v>
      </c>
      <c r="CE57" s="12">
        <v>13</v>
      </c>
      <c r="CF57" s="14">
        <v>71780.952380939998</v>
      </c>
      <c r="CG57" s="12">
        <f t="shared" si="27"/>
        <v>3</v>
      </c>
      <c r="CH57" s="14">
        <f t="shared" si="28"/>
        <v>-6599.9999999900028</v>
      </c>
      <c r="CI57" s="13">
        <f t="shared" si="29"/>
        <v>-8.4204131227113996E-2</v>
      </c>
      <c r="CK57" s="16"/>
      <c r="CL57" s="15" t="s">
        <v>8</v>
      </c>
      <c r="CM57" s="12">
        <v>6</v>
      </c>
      <c r="CN57" s="14">
        <v>33657.142857129998</v>
      </c>
      <c r="CO57" s="12">
        <f t="shared" si="30"/>
        <v>-7</v>
      </c>
      <c r="CP57" s="14">
        <f t="shared" si="31"/>
        <v>-38123.80952381</v>
      </c>
      <c r="CQ57" s="13">
        <f t="shared" si="32"/>
        <v>-0.53111317500341526</v>
      </c>
      <c r="CS57" s="16"/>
      <c r="CT57" s="15" t="s">
        <v>8</v>
      </c>
      <c r="CU57" s="12">
        <v>9</v>
      </c>
      <c r="CV57" s="14">
        <v>47342.857142840003</v>
      </c>
      <c r="CW57" s="12">
        <f t="shared" si="33"/>
        <v>3</v>
      </c>
      <c r="CX57" s="14">
        <f t="shared" si="34"/>
        <v>13685.714285710004</v>
      </c>
      <c r="CY57" s="13">
        <f t="shared" si="35"/>
        <v>0.40662139219018095</v>
      </c>
    </row>
    <row r="58" spans="1:103" s="12" customFormat="1" ht="20" customHeight="1">
      <c r="A58" s="16"/>
      <c r="B58" s="15" t="s">
        <v>7</v>
      </c>
      <c r="C58" s="12">
        <v>9</v>
      </c>
      <c r="D58" s="14">
        <v>96761.904761870013</v>
      </c>
      <c r="E58" s="12" t="e">
        <f>C58-#REF!</f>
        <v>#REF!</v>
      </c>
      <c r="F58" s="14" t="e">
        <f>D58-#REF!</f>
        <v>#REF!</v>
      </c>
      <c r="G58" s="13" t="e">
        <f>(D58-#REF!)/#REF!</f>
        <v>#REF!</v>
      </c>
      <c r="I58" s="16"/>
      <c r="J58" s="15" t="s">
        <v>7</v>
      </c>
      <c r="K58" s="12">
        <v>5</v>
      </c>
      <c r="L58" s="14">
        <v>48476.190476169999</v>
      </c>
      <c r="M58" s="12">
        <f t="shared" si="42"/>
        <v>-4</v>
      </c>
      <c r="N58" s="14">
        <f t="shared" si="43"/>
        <v>-48285.714285700014</v>
      </c>
      <c r="O58" s="13">
        <f t="shared" si="44"/>
        <v>-0.49901574803152776</v>
      </c>
      <c r="Q58" s="16"/>
      <c r="R58" s="15" t="s">
        <v>7</v>
      </c>
      <c r="S58" s="12">
        <v>19</v>
      </c>
      <c r="T58" s="14">
        <v>225428.57142852002</v>
      </c>
      <c r="U58" s="12">
        <f t="shared" si="3"/>
        <v>14</v>
      </c>
      <c r="V58" s="14">
        <f t="shared" si="4"/>
        <v>176952.38095235004</v>
      </c>
      <c r="W58" s="13">
        <f t="shared" si="5"/>
        <v>3.6502946954822404</v>
      </c>
      <c r="Y58" s="16"/>
      <c r="Z58" s="15" t="s">
        <v>7</v>
      </c>
      <c r="AA58" s="12">
        <v>12</v>
      </c>
      <c r="AB58" s="14">
        <v>134666.66666662</v>
      </c>
      <c r="AC58" s="12">
        <f t="shared" si="6"/>
        <v>-7</v>
      </c>
      <c r="AD58" s="14">
        <f t="shared" si="7"/>
        <v>-90761.904761900019</v>
      </c>
      <c r="AE58" s="13">
        <f t="shared" si="8"/>
        <v>-0.40261934938748101</v>
      </c>
      <c r="AG58" s="16"/>
      <c r="AH58" s="15" t="s">
        <v>7</v>
      </c>
      <c r="AI58" s="12">
        <v>8</v>
      </c>
      <c r="AJ58" s="14">
        <v>87238.095238070004</v>
      </c>
      <c r="AK58" s="12">
        <f t="shared" si="9"/>
        <v>-4</v>
      </c>
      <c r="AL58" s="14">
        <f t="shared" si="10"/>
        <v>-47428.57142855</v>
      </c>
      <c r="AM58" s="13">
        <f t="shared" si="11"/>
        <v>-0.35219236209331511</v>
      </c>
      <c r="AO58" s="16"/>
      <c r="AP58" s="15" t="s">
        <v>7</v>
      </c>
      <c r="AQ58" s="12">
        <v>12</v>
      </c>
      <c r="AR58" s="14">
        <v>158190.47619044999</v>
      </c>
      <c r="AS58" s="12">
        <f t="shared" si="12"/>
        <v>4</v>
      </c>
      <c r="AT58" s="14">
        <f t="shared" si="13"/>
        <v>70952.380952379986</v>
      </c>
      <c r="AU58" s="13">
        <f t="shared" si="14"/>
        <v>0.81331877729280055</v>
      </c>
      <c r="AW58" s="16"/>
      <c r="AX58" s="15" t="s">
        <v>7</v>
      </c>
      <c r="AY58" s="12">
        <v>3</v>
      </c>
      <c r="AZ58" s="14">
        <v>46952.380952359999</v>
      </c>
      <c r="BA58" s="12">
        <f t="shared" si="15"/>
        <v>-9</v>
      </c>
      <c r="BB58" s="14">
        <f t="shared" si="16"/>
        <v>-111238.09523809</v>
      </c>
      <c r="BC58" s="13">
        <f t="shared" si="17"/>
        <v>-0.70319084888629646</v>
      </c>
      <c r="BE58" s="16"/>
      <c r="BF58" s="15" t="s">
        <v>7</v>
      </c>
      <c r="BG58" s="12">
        <v>4</v>
      </c>
      <c r="BH58" s="14">
        <v>31047.619047610002</v>
      </c>
      <c r="BI58" s="12">
        <f t="shared" si="18"/>
        <v>1</v>
      </c>
      <c r="BJ58" s="14">
        <f t="shared" si="19"/>
        <v>-15904.761904749997</v>
      </c>
      <c r="BK58" s="13">
        <f t="shared" si="20"/>
        <v>-0.33874239350902535</v>
      </c>
      <c r="BL58" s="17"/>
      <c r="BM58" s="16"/>
      <c r="BN58" s="15" t="s">
        <v>7</v>
      </c>
      <c r="BO58" s="12">
        <v>1</v>
      </c>
      <c r="BP58" s="14">
        <v>26571.428571420001</v>
      </c>
      <c r="BQ58" s="12">
        <f t="shared" si="21"/>
        <v>-3</v>
      </c>
      <c r="BR58" s="14">
        <f t="shared" si="22"/>
        <v>-4476.1904761900005</v>
      </c>
      <c r="BS58" s="13">
        <f t="shared" si="23"/>
        <v>-0.14417177914113097</v>
      </c>
      <c r="BU58" s="16"/>
      <c r="BV58" s="15" t="s">
        <v>7</v>
      </c>
      <c r="BW58" s="12">
        <v>4</v>
      </c>
      <c r="BX58" s="14">
        <v>30095.238095209999</v>
      </c>
      <c r="BY58" s="12">
        <f t="shared" si="24"/>
        <v>3</v>
      </c>
      <c r="BZ58" s="14">
        <f t="shared" si="25"/>
        <v>3523.8095237899979</v>
      </c>
      <c r="CA58" s="13">
        <f t="shared" si="26"/>
        <v>0.13261648745450505</v>
      </c>
      <c r="CC58" s="16"/>
      <c r="CD58" s="15" t="s">
        <v>7</v>
      </c>
      <c r="CF58" s="14"/>
      <c r="CG58" s="12">
        <f t="shared" si="27"/>
        <v>-4</v>
      </c>
      <c r="CH58" s="14">
        <f t="shared" si="28"/>
        <v>-30095.238095209999</v>
      </c>
      <c r="CI58" s="13">
        <f t="shared" si="29"/>
        <v>-1</v>
      </c>
      <c r="CK58" s="16"/>
      <c r="CL58" s="15" t="s">
        <v>7</v>
      </c>
      <c r="CM58" s="12">
        <v>12</v>
      </c>
      <c r="CN58" s="14">
        <v>182666.66666662</v>
      </c>
      <c r="CO58" s="12">
        <f t="shared" si="30"/>
        <v>12</v>
      </c>
      <c r="CP58" s="14">
        <f t="shared" si="31"/>
        <v>182666.66666662</v>
      </c>
      <c r="CQ58" s="13" t="e">
        <f t="shared" si="32"/>
        <v>#DIV/0!</v>
      </c>
      <c r="CS58" s="16"/>
      <c r="CT58" s="15" t="s">
        <v>7</v>
      </c>
      <c r="CU58" s="12">
        <v>22</v>
      </c>
      <c r="CV58" s="14">
        <v>335999.99999995</v>
      </c>
      <c r="CW58" s="12">
        <f t="shared" si="33"/>
        <v>10</v>
      </c>
      <c r="CX58" s="14">
        <f t="shared" si="34"/>
        <v>153333.33333333</v>
      </c>
      <c r="CY58" s="13">
        <f t="shared" si="35"/>
        <v>0.83941605839435673</v>
      </c>
    </row>
    <row r="59" spans="1:103" s="12" customFormat="1" ht="20" customHeight="1">
      <c r="A59" s="16"/>
      <c r="B59" s="15" t="s">
        <v>6</v>
      </c>
      <c r="C59" s="12">
        <v>3</v>
      </c>
      <c r="D59" s="14">
        <v>20571.428571419998</v>
      </c>
      <c r="E59" s="12" t="e">
        <f>C59-#REF!</f>
        <v>#REF!</v>
      </c>
      <c r="F59" s="14" t="e">
        <f>D59-#REF!</f>
        <v>#REF!</v>
      </c>
      <c r="G59" s="13" t="e">
        <f>(D59-#REF!)/#REF!</f>
        <v>#REF!</v>
      </c>
      <c r="I59" s="16"/>
      <c r="J59" s="15" t="s">
        <v>6</v>
      </c>
      <c r="K59" s="12">
        <v>3</v>
      </c>
      <c r="L59" s="14">
        <v>19470</v>
      </c>
      <c r="M59" s="12">
        <f t="shared" si="42"/>
        <v>0</v>
      </c>
      <c r="N59" s="14">
        <f t="shared" si="43"/>
        <v>-1101.4285714199978</v>
      </c>
      <c r="O59" s="13">
        <f t="shared" si="44"/>
        <v>-5.3541666666272206E-2</v>
      </c>
      <c r="Q59" s="16"/>
      <c r="R59" s="15" t="s">
        <v>6</v>
      </c>
      <c r="S59" s="12">
        <v>0</v>
      </c>
      <c r="T59" s="14">
        <v>0</v>
      </c>
      <c r="U59" s="12">
        <f t="shared" si="3"/>
        <v>-3</v>
      </c>
      <c r="V59" s="14">
        <f t="shared" si="4"/>
        <v>-19470</v>
      </c>
      <c r="W59" s="13">
        <f t="shared" si="5"/>
        <v>-1</v>
      </c>
      <c r="Y59" s="16"/>
      <c r="Z59" s="15" t="s">
        <v>6</v>
      </c>
      <c r="AA59" s="12">
        <v>0</v>
      </c>
      <c r="AB59" s="14">
        <v>0</v>
      </c>
      <c r="AC59" s="12">
        <f t="shared" si="6"/>
        <v>0</v>
      </c>
      <c r="AD59" s="14">
        <f t="shared" si="7"/>
        <v>0</v>
      </c>
      <c r="AE59" s="13" t="e">
        <f t="shared" si="8"/>
        <v>#DIV/0!</v>
      </c>
      <c r="AG59" s="16"/>
      <c r="AH59" s="15" t="s">
        <v>6</v>
      </c>
      <c r="AI59" s="12">
        <v>0</v>
      </c>
      <c r="AJ59" s="14">
        <v>0</v>
      </c>
      <c r="AK59" s="12">
        <f t="shared" si="9"/>
        <v>0</v>
      </c>
      <c r="AL59" s="14">
        <f t="shared" si="10"/>
        <v>0</v>
      </c>
      <c r="AM59" s="13" t="e">
        <f t="shared" si="11"/>
        <v>#DIV/0!</v>
      </c>
      <c r="AO59" s="16"/>
      <c r="AP59" s="15" t="s">
        <v>6</v>
      </c>
      <c r="AQ59" s="12">
        <v>0</v>
      </c>
      <c r="AR59" s="14">
        <v>0</v>
      </c>
      <c r="AS59" s="12">
        <f t="shared" si="12"/>
        <v>0</v>
      </c>
      <c r="AT59" s="14">
        <f t="shared" si="13"/>
        <v>0</v>
      </c>
      <c r="AU59" s="13" t="e">
        <f t="shared" si="14"/>
        <v>#DIV/0!</v>
      </c>
      <c r="AW59" s="16"/>
      <c r="AX59" s="15" t="s">
        <v>6</v>
      </c>
      <c r="AY59" s="12">
        <v>0</v>
      </c>
      <c r="AZ59" s="14">
        <v>0</v>
      </c>
      <c r="BA59" s="12">
        <f t="shared" si="15"/>
        <v>0</v>
      </c>
      <c r="BB59" s="14">
        <f t="shared" si="16"/>
        <v>0</v>
      </c>
      <c r="BC59" s="13" t="e">
        <f t="shared" si="17"/>
        <v>#DIV/0!</v>
      </c>
      <c r="BE59" s="16"/>
      <c r="BF59" s="15" t="s">
        <v>6</v>
      </c>
      <c r="BG59" s="12">
        <v>1</v>
      </c>
      <c r="BH59" s="14">
        <v>2857.1428571400002</v>
      </c>
      <c r="BI59" s="12">
        <f t="shared" si="18"/>
        <v>1</v>
      </c>
      <c r="BJ59" s="14">
        <f t="shared" si="19"/>
        <v>2857.1428571400002</v>
      </c>
      <c r="BK59" s="13" t="e">
        <f t="shared" si="20"/>
        <v>#DIV/0!</v>
      </c>
      <c r="BL59" s="17"/>
      <c r="BM59" s="16"/>
      <c r="BN59" s="15" t="s">
        <v>6</v>
      </c>
      <c r="BO59" s="12">
        <v>1</v>
      </c>
      <c r="BP59" s="14">
        <v>2857.1428571400002</v>
      </c>
      <c r="BQ59" s="12">
        <f t="shared" si="21"/>
        <v>0</v>
      </c>
      <c r="BR59" s="14">
        <f t="shared" si="22"/>
        <v>0</v>
      </c>
      <c r="BS59" s="13">
        <f t="shared" si="23"/>
        <v>0</v>
      </c>
      <c r="BU59" s="16"/>
      <c r="BV59" s="15" t="s">
        <v>6</v>
      </c>
      <c r="BW59" s="12">
        <v>1</v>
      </c>
      <c r="BX59" s="14">
        <v>2857.1428571400002</v>
      </c>
      <c r="BY59" s="12">
        <f t="shared" si="24"/>
        <v>0</v>
      </c>
      <c r="BZ59" s="14">
        <f t="shared" si="25"/>
        <v>0</v>
      </c>
      <c r="CA59" s="13">
        <f t="shared" si="26"/>
        <v>0</v>
      </c>
      <c r="CC59" s="16"/>
      <c r="CD59" s="15" t="s">
        <v>6</v>
      </c>
      <c r="CF59" s="14"/>
      <c r="CG59" s="12">
        <f t="shared" si="27"/>
        <v>-1</v>
      </c>
      <c r="CH59" s="14">
        <f t="shared" si="28"/>
        <v>-2857.1428571400002</v>
      </c>
      <c r="CI59" s="13">
        <f t="shared" si="29"/>
        <v>-1</v>
      </c>
      <c r="CK59" s="16"/>
      <c r="CL59" s="15" t="s">
        <v>6</v>
      </c>
      <c r="CM59" s="12">
        <v>0</v>
      </c>
      <c r="CN59" s="14">
        <v>0</v>
      </c>
      <c r="CO59" s="12">
        <f t="shared" si="30"/>
        <v>0</v>
      </c>
      <c r="CP59" s="14">
        <f t="shared" si="31"/>
        <v>0</v>
      </c>
      <c r="CQ59" s="13" t="e">
        <f t="shared" si="32"/>
        <v>#DIV/0!</v>
      </c>
      <c r="CS59" s="16"/>
      <c r="CT59" s="15" t="s">
        <v>6</v>
      </c>
      <c r="CU59" s="12">
        <v>1</v>
      </c>
      <c r="CV59" s="14">
        <v>2857.1428571400002</v>
      </c>
      <c r="CW59" s="12">
        <f t="shared" si="33"/>
        <v>1</v>
      </c>
      <c r="CX59" s="14">
        <f t="shared" si="34"/>
        <v>2857.1428571400002</v>
      </c>
      <c r="CY59" s="13" t="e">
        <f t="shared" si="35"/>
        <v>#DIV/0!</v>
      </c>
    </row>
    <row r="60" spans="1:103" s="12" customFormat="1" ht="20" customHeight="1">
      <c r="A60" s="16"/>
      <c r="B60" s="15" t="s">
        <v>5</v>
      </c>
      <c r="C60" s="12">
        <v>3</v>
      </c>
      <c r="D60" s="14">
        <v>10570</v>
      </c>
      <c r="E60" s="12" t="e">
        <f>C60-#REF!</f>
        <v>#REF!</v>
      </c>
      <c r="F60" s="14" t="e">
        <f>D60-#REF!</f>
        <v>#REF!</v>
      </c>
      <c r="G60" s="13" t="e">
        <f>(D60-#REF!)/#REF!</f>
        <v>#REF!</v>
      </c>
      <c r="I60" s="16"/>
      <c r="J60" s="15" t="s">
        <v>5</v>
      </c>
      <c r="K60" s="12">
        <v>0</v>
      </c>
      <c r="L60" s="14">
        <v>0</v>
      </c>
      <c r="M60" s="12">
        <f t="shared" si="42"/>
        <v>-3</v>
      </c>
      <c r="N60" s="14">
        <f t="shared" si="43"/>
        <v>-10570</v>
      </c>
      <c r="O60" s="13">
        <f t="shared" si="44"/>
        <v>-1</v>
      </c>
      <c r="Q60" s="16"/>
      <c r="R60" s="15" t="s">
        <v>5</v>
      </c>
      <c r="S60" s="12">
        <v>3</v>
      </c>
      <c r="T60" s="14">
        <v>14170</v>
      </c>
      <c r="U60" s="12">
        <f t="shared" si="3"/>
        <v>3</v>
      </c>
      <c r="V60" s="14">
        <f t="shared" si="4"/>
        <v>14170</v>
      </c>
      <c r="W60" s="13" t="e">
        <f t="shared" si="5"/>
        <v>#DIV/0!</v>
      </c>
      <c r="Y60" s="16"/>
      <c r="Z60" s="15" t="s">
        <v>5</v>
      </c>
      <c r="AA60" s="12">
        <v>5</v>
      </c>
      <c r="AB60" s="14">
        <v>27350</v>
      </c>
      <c r="AC60" s="12">
        <f t="shared" si="6"/>
        <v>2</v>
      </c>
      <c r="AD60" s="14">
        <f t="shared" si="7"/>
        <v>13180</v>
      </c>
      <c r="AE60" s="13">
        <f t="shared" si="8"/>
        <v>0.9301340860973889</v>
      </c>
      <c r="AG60" s="16"/>
      <c r="AH60" s="15" t="s">
        <v>5</v>
      </c>
      <c r="AI60" s="12">
        <v>2</v>
      </c>
      <c r="AJ60" s="14">
        <v>15280</v>
      </c>
      <c r="AK60" s="12">
        <f t="shared" si="9"/>
        <v>-3</v>
      </c>
      <c r="AL60" s="14">
        <f t="shared" si="10"/>
        <v>-12070</v>
      </c>
      <c r="AM60" s="13">
        <f t="shared" si="11"/>
        <v>-0.44131627056672762</v>
      </c>
      <c r="AO60" s="16"/>
      <c r="AP60" s="15" t="s">
        <v>5</v>
      </c>
      <c r="AQ60" s="12">
        <v>1</v>
      </c>
      <c r="AR60" s="14">
        <v>5790</v>
      </c>
      <c r="AS60" s="12">
        <f t="shared" si="12"/>
        <v>-1</v>
      </c>
      <c r="AT60" s="14">
        <f t="shared" si="13"/>
        <v>-9490</v>
      </c>
      <c r="AU60" s="13">
        <f t="shared" si="14"/>
        <v>-0.62107329842931935</v>
      </c>
      <c r="AW60" s="16"/>
      <c r="AX60" s="15" t="s">
        <v>5</v>
      </c>
      <c r="AY60" s="12">
        <v>1</v>
      </c>
      <c r="AZ60" s="14">
        <v>8990</v>
      </c>
      <c r="BA60" s="12">
        <f t="shared" si="15"/>
        <v>0</v>
      </c>
      <c r="BB60" s="14">
        <f t="shared" si="16"/>
        <v>3200</v>
      </c>
      <c r="BC60" s="13">
        <f t="shared" si="17"/>
        <v>0.55267702936096719</v>
      </c>
      <c r="BE60" s="16"/>
      <c r="BF60" s="15" t="s">
        <v>5</v>
      </c>
      <c r="BG60" s="12">
        <v>0</v>
      </c>
      <c r="BH60" s="14">
        <v>0</v>
      </c>
      <c r="BI60" s="12">
        <f t="shared" si="18"/>
        <v>-1</v>
      </c>
      <c r="BJ60" s="14">
        <f t="shared" si="19"/>
        <v>-8990</v>
      </c>
      <c r="BK60" s="13">
        <f t="shared" si="20"/>
        <v>-1</v>
      </c>
      <c r="BL60" s="17"/>
      <c r="BM60" s="16"/>
      <c r="BN60" s="15" t="s">
        <v>5</v>
      </c>
      <c r="BO60" s="12">
        <v>1</v>
      </c>
      <c r="BP60" s="14">
        <v>6290</v>
      </c>
      <c r="BQ60" s="12">
        <f t="shared" si="21"/>
        <v>1</v>
      </c>
      <c r="BR60" s="14">
        <f t="shared" si="22"/>
        <v>6290</v>
      </c>
      <c r="BS60" s="13" t="e">
        <f t="shared" si="23"/>
        <v>#DIV/0!</v>
      </c>
      <c r="BU60" s="16"/>
      <c r="BV60" s="15" t="s">
        <v>5</v>
      </c>
      <c r="BW60" s="12">
        <v>1</v>
      </c>
      <c r="BX60" s="14">
        <v>6290</v>
      </c>
      <c r="BY60" s="12">
        <f t="shared" si="24"/>
        <v>0</v>
      </c>
      <c r="BZ60" s="14">
        <f t="shared" si="25"/>
        <v>0</v>
      </c>
      <c r="CA60" s="13">
        <f t="shared" si="26"/>
        <v>0</v>
      </c>
      <c r="CC60" s="16"/>
      <c r="CD60" s="15" t="s">
        <v>5</v>
      </c>
      <c r="CE60" s="12">
        <v>1</v>
      </c>
      <c r="CF60" s="14">
        <v>2590</v>
      </c>
      <c r="CG60" s="12">
        <f t="shared" si="27"/>
        <v>0</v>
      </c>
      <c r="CH60" s="14">
        <f t="shared" si="28"/>
        <v>-3700</v>
      </c>
      <c r="CI60" s="13">
        <f t="shared" si="29"/>
        <v>-0.58823529411764708</v>
      </c>
      <c r="CK60" s="16"/>
      <c r="CL60" s="15" t="s">
        <v>5</v>
      </c>
      <c r="CM60" s="12">
        <v>1</v>
      </c>
      <c r="CN60" s="14">
        <v>6390</v>
      </c>
      <c r="CO60" s="12">
        <f t="shared" si="30"/>
        <v>0</v>
      </c>
      <c r="CP60" s="14">
        <f t="shared" si="31"/>
        <v>3800</v>
      </c>
      <c r="CQ60" s="13">
        <f t="shared" si="32"/>
        <v>1.4671814671814671</v>
      </c>
      <c r="CS60" s="16"/>
      <c r="CT60" s="15" t="s">
        <v>5</v>
      </c>
      <c r="CU60" s="12">
        <v>1</v>
      </c>
      <c r="CV60" s="14">
        <v>6390</v>
      </c>
      <c r="CW60" s="12">
        <f t="shared" si="33"/>
        <v>0</v>
      </c>
      <c r="CX60" s="14">
        <f t="shared" si="34"/>
        <v>0</v>
      </c>
      <c r="CY60" s="13">
        <f t="shared" si="35"/>
        <v>0</v>
      </c>
    </row>
    <row r="61" spans="1:103" s="12" customFormat="1" ht="20" customHeight="1">
      <c r="A61" s="16"/>
      <c r="B61" s="15" t="s">
        <v>4</v>
      </c>
      <c r="C61" s="12">
        <v>3</v>
      </c>
      <c r="D61" s="14">
        <v>159004.76190475002</v>
      </c>
      <c r="E61" s="12" t="e">
        <f>C61-#REF!</f>
        <v>#REF!</v>
      </c>
      <c r="F61" s="14" t="e">
        <f>D61-#REF!</f>
        <v>#REF!</v>
      </c>
      <c r="G61" s="13" t="e">
        <f>(D61-#REF!)/#REF!</f>
        <v>#REF!</v>
      </c>
      <c r="I61" s="16"/>
      <c r="J61" s="15" t="s">
        <v>4</v>
      </c>
      <c r="K61" s="12">
        <v>2</v>
      </c>
      <c r="L61" s="14">
        <v>88485.714285709997</v>
      </c>
      <c r="M61" s="12">
        <f t="shared" si="42"/>
        <v>-1</v>
      </c>
      <c r="N61" s="14">
        <f t="shared" si="43"/>
        <v>-70519.047619040022</v>
      </c>
      <c r="O61" s="13">
        <f t="shared" si="44"/>
        <v>-0.44350274025933667</v>
      </c>
      <c r="Q61" s="16"/>
      <c r="R61" s="15" t="s">
        <v>4</v>
      </c>
      <c r="S61" s="12">
        <v>7</v>
      </c>
      <c r="T61" s="14">
        <v>271057.14285711996</v>
      </c>
      <c r="U61" s="12">
        <f t="shared" si="3"/>
        <v>5</v>
      </c>
      <c r="V61" s="14">
        <f t="shared" si="4"/>
        <v>182571.42857140995</v>
      </c>
      <c r="W61" s="13">
        <f t="shared" si="5"/>
        <v>2.0632870519856823</v>
      </c>
      <c r="Y61" s="16"/>
      <c r="Z61" s="15" t="s">
        <v>4</v>
      </c>
      <c r="AA61" s="12">
        <v>3</v>
      </c>
      <c r="AB61" s="14">
        <v>102723.8095238</v>
      </c>
      <c r="AC61" s="12">
        <f t="shared" si="6"/>
        <v>-4</v>
      </c>
      <c r="AD61" s="14">
        <f t="shared" si="7"/>
        <v>-168333.33333331998</v>
      </c>
      <c r="AE61" s="13">
        <f t="shared" si="8"/>
        <v>-0.62102526264010716</v>
      </c>
      <c r="AG61" s="16"/>
      <c r="AH61" s="15" t="s">
        <v>4</v>
      </c>
      <c r="AI61" s="12">
        <v>3</v>
      </c>
      <c r="AJ61" s="14">
        <v>127485.7142857</v>
      </c>
      <c r="AK61" s="12">
        <f t="shared" si="9"/>
        <v>0</v>
      </c>
      <c r="AL61" s="14">
        <f t="shared" si="10"/>
        <v>24761.904761900005</v>
      </c>
      <c r="AM61" s="13">
        <f t="shared" si="11"/>
        <v>0.24105321713329703</v>
      </c>
      <c r="AO61" s="16"/>
      <c r="AP61" s="15" t="s">
        <v>4</v>
      </c>
      <c r="AQ61" s="12">
        <v>3</v>
      </c>
      <c r="AR61" s="14">
        <v>117809.52380950999</v>
      </c>
      <c r="AS61" s="12">
        <f t="shared" si="12"/>
        <v>0</v>
      </c>
      <c r="AT61" s="14">
        <f t="shared" si="13"/>
        <v>-9676.1904761900078</v>
      </c>
      <c r="AU61" s="13">
        <f t="shared" si="14"/>
        <v>-7.5900194232785351E-2</v>
      </c>
      <c r="AW61" s="16"/>
      <c r="AX61" s="15" t="s">
        <v>4</v>
      </c>
      <c r="AY61" s="12">
        <v>6</v>
      </c>
      <c r="AZ61" s="14">
        <v>289195.23809522</v>
      </c>
      <c r="BA61" s="12">
        <f t="shared" si="15"/>
        <v>3</v>
      </c>
      <c r="BB61" s="14">
        <f t="shared" si="16"/>
        <v>171385.71428571001</v>
      </c>
      <c r="BC61" s="13">
        <f t="shared" si="17"/>
        <v>1.45476960388049</v>
      </c>
      <c r="BE61" s="16"/>
      <c r="BF61" s="15" t="s">
        <v>4</v>
      </c>
      <c r="BG61" s="12">
        <v>1</v>
      </c>
      <c r="BH61" s="14">
        <v>18952.380952380001</v>
      </c>
      <c r="BI61" s="12">
        <f t="shared" si="18"/>
        <v>-5</v>
      </c>
      <c r="BJ61" s="14">
        <f t="shared" si="19"/>
        <v>-270242.85714283999</v>
      </c>
      <c r="BK61" s="13">
        <f t="shared" si="20"/>
        <v>-0.9344651001959452</v>
      </c>
      <c r="BL61" s="17"/>
      <c r="BM61" s="16"/>
      <c r="BN61" s="15" t="s">
        <v>4</v>
      </c>
      <c r="BO61" s="12">
        <v>2</v>
      </c>
      <c r="BP61" s="14">
        <v>71480.95238095001</v>
      </c>
      <c r="BQ61" s="12">
        <f t="shared" si="21"/>
        <v>1</v>
      </c>
      <c r="BR61" s="14">
        <f t="shared" si="22"/>
        <v>52528.571428570009</v>
      </c>
      <c r="BS61" s="13">
        <f t="shared" si="23"/>
        <v>2.7716080402010692</v>
      </c>
      <c r="BU61" s="16"/>
      <c r="BV61" s="15" t="s">
        <v>4</v>
      </c>
      <c r="BW61" s="12">
        <v>4</v>
      </c>
      <c r="BX61" s="14">
        <v>144623.80952380001</v>
      </c>
      <c r="BY61" s="12">
        <f t="shared" si="24"/>
        <v>2</v>
      </c>
      <c r="BZ61" s="14">
        <f t="shared" si="25"/>
        <v>73142.85714285</v>
      </c>
      <c r="CA61" s="13">
        <f t="shared" si="26"/>
        <v>1.0232496169475058</v>
      </c>
      <c r="CC61" s="16"/>
      <c r="CD61" s="15" t="s">
        <v>4</v>
      </c>
      <c r="CE61" s="12">
        <v>2</v>
      </c>
      <c r="CF61" s="14">
        <v>92190.476190469999</v>
      </c>
      <c r="CG61" s="12">
        <f t="shared" si="27"/>
        <v>-2</v>
      </c>
      <c r="CH61" s="14">
        <f t="shared" si="28"/>
        <v>-52433.333333330011</v>
      </c>
      <c r="CI61" s="13">
        <f t="shared" si="29"/>
        <v>-0.36254980079681365</v>
      </c>
      <c r="CK61" s="16"/>
      <c r="CL61" s="15" t="s">
        <v>4</v>
      </c>
      <c r="CM61" s="12">
        <v>1</v>
      </c>
      <c r="CN61" s="14">
        <v>39904.761904760002</v>
      </c>
      <c r="CO61" s="12">
        <f t="shared" si="30"/>
        <v>-1</v>
      </c>
      <c r="CP61" s="14">
        <f t="shared" si="31"/>
        <v>-52285.714285709997</v>
      </c>
      <c r="CQ61" s="13">
        <f t="shared" si="32"/>
        <v>-0.56714876033057005</v>
      </c>
      <c r="CS61" s="16"/>
      <c r="CT61" s="15" t="s">
        <v>4</v>
      </c>
      <c r="CU61" s="12">
        <v>1</v>
      </c>
      <c r="CV61" s="14">
        <v>46571.428571420001</v>
      </c>
      <c r="CW61" s="12">
        <f t="shared" si="33"/>
        <v>0</v>
      </c>
      <c r="CX61" s="14">
        <f t="shared" si="34"/>
        <v>6666.6666666599995</v>
      </c>
      <c r="CY61" s="13">
        <f t="shared" si="35"/>
        <v>0.16706443914065233</v>
      </c>
    </row>
    <row r="62" spans="1:103" s="12" customFormat="1" ht="20" customHeight="1">
      <c r="A62" s="16"/>
      <c r="B62" s="15" t="s">
        <v>3</v>
      </c>
      <c r="C62" s="12">
        <v>18</v>
      </c>
      <c r="D62" s="14">
        <v>325904.76190470002</v>
      </c>
      <c r="E62" s="12" t="e">
        <f>C62-#REF!</f>
        <v>#REF!</v>
      </c>
      <c r="F62" s="14" t="e">
        <f>D62-#REF!</f>
        <v>#REF!</v>
      </c>
      <c r="G62" s="13" t="e">
        <f>(D62-#REF!)/#REF!</f>
        <v>#REF!</v>
      </c>
      <c r="I62" s="16"/>
      <c r="J62" s="15" t="s">
        <v>3</v>
      </c>
      <c r="K62" s="12">
        <v>3</v>
      </c>
      <c r="L62" s="14">
        <v>51619.04761904</v>
      </c>
      <c r="M62" s="12">
        <f t="shared" si="42"/>
        <v>-15</v>
      </c>
      <c r="N62" s="14">
        <f t="shared" si="43"/>
        <v>-274285.71428566001</v>
      </c>
      <c r="O62" s="13">
        <f t="shared" si="44"/>
        <v>-0.84161309175919841</v>
      </c>
      <c r="Q62" s="16"/>
      <c r="R62" s="15" t="s">
        <v>3</v>
      </c>
      <c r="S62" s="12">
        <v>9</v>
      </c>
      <c r="T62" s="14">
        <v>189142.85714281004</v>
      </c>
      <c r="U62" s="12">
        <f t="shared" si="3"/>
        <v>6</v>
      </c>
      <c r="V62" s="14">
        <f t="shared" si="4"/>
        <v>137523.80952377003</v>
      </c>
      <c r="W62" s="13">
        <f t="shared" si="5"/>
        <v>2.6642066420660488</v>
      </c>
      <c r="Y62" s="16"/>
      <c r="Z62" s="15" t="s">
        <v>3</v>
      </c>
      <c r="AA62" s="12">
        <v>12</v>
      </c>
      <c r="AB62" s="14">
        <v>200761.90476186998</v>
      </c>
      <c r="AC62" s="12">
        <f t="shared" si="6"/>
        <v>3</v>
      </c>
      <c r="AD62" s="14">
        <f t="shared" si="7"/>
        <v>11619.047619059944</v>
      </c>
      <c r="AE62" s="13">
        <f t="shared" si="8"/>
        <v>6.1430010070573915E-2</v>
      </c>
      <c r="AG62" s="16"/>
      <c r="AH62" s="15" t="s">
        <v>3</v>
      </c>
      <c r="AI62" s="12">
        <v>12</v>
      </c>
      <c r="AJ62" s="14">
        <v>191714.28571426001</v>
      </c>
      <c r="AK62" s="12">
        <f t="shared" si="9"/>
        <v>0</v>
      </c>
      <c r="AL62" s="14">
        <f t="shared" si="10"/>
        <v>-9047.6190476099728</v>
      </c>
      <c r="AM62" s="13">
        <f t="shared" si="11"/>
        <v>-4.5066413662201696E-2</v>
      </c>
      <c r="AO62" s="16"/>
      <c r="AP62" s="15" t="s">
        <v>3</v>
      </c>
      <c r="AQ62" s="12">
        <v>13</v>
      </c>
      <c r="AR62" s="14">
        <v>278285.71428567002</v>
      </c>
      <c r="AS62" s="12">
        <f t="shared" si="12"/>
        <v>1</v>
      </c>
      <c r="AT62" s="14">
        <f t="shared" si="13"/>
        <v>86571.428571410012</v>
      </c>
      <c r="AU62" s="13">
        <f t="shared" si="14"/>
        <v>0.45156482861397268</v>
      </c>
      <c r="AW62" s="16"/>
      <c r="AX62" s="15" t="s">
        <v>3</v>
      </c>
      <c r="AY62" s="12">
        <v>11</v>
      </c>
      <c r="AZ62" s="14">
        <v>184190.47619044001</v>
      </c>
      <c r="BA62" s="12">
        <f t="shared" si="15"/>
        <v>-2</v>
      </c>
      <c r="BB62" s="14">
        <f t="shared" si="16"/>
        <v>-94095.238095230015</v>
      </c>
      <c r="BC62" s="13">
        <f t="shared" si="17"/>
        <v>-0.33812457221083925</v>
      </c>
      <c r="BE62" s="16"/>
      <c r="BF62" s="15" t="s">
        <v>3</v>
      </c>
      <c r="BG62" s="12">
        <v>13</v>
      </c>
      <c r="BH62" s="14">
        <v>246857.1428571</v>
      </c>
      <c r="BI62" s="12">
        <f t="shared" si="18"/>
        <v>2</v>
      </c>
      <c r="BJ62" s="14">
        <f t="shared" si="19"/>
        <v>62666.666666659992</v>
      </c>
      <c r="BK62" s="13">
        <f t="shared" si="20"/>
        <v>0.34022750775597682</v>
      </c>
      <c r="BL62" s="17"/>
      <c r="BM62" s="16"/>
      <c r="BN62" s="15" t="s">
        <v>3</v>
      </c>
      <c r="BO62" s="12">
        <v>14</v>
      </c>
      <c r="BP62" s="14">
        <v>265809.52380948002</v>
      </c>
      <c r="BQ62" s="12">
        <f t="shared" si="21"/>
        <v>1</v>
      </c>
      <c r="BR62" s="14">
        <f t="shared" si="22"/>
        <v>18952.380952380016</v>
      </c>
      <c r="BS62" s="13">
        <f t="shared" si="23"/>
        <v>7.6774691358034219E-2</v>
      </c>
      <c r="BU62" s="16"/>
      <c r="BV62" s="15" t="s">
        <v>3</v>
      </c>
      <c r="BW62" s="12">
        <v>8</v>
      </c>
      <c r="BX62" s="14">
        <v>135428.57142853999</v>
      </c>
      <c r="BY62" s="12">
        <f t="shared" si="24"/>
        <v>-6</v>
      </c>
      <c r="BZ62" s="14">
        <f t="shared" si="25"/>
        <v>-130380.95238094003</v>
      </c>
      <c r="CA62" s="13">
        <f t="shared" si="26"/>
        <v>-0.4905051952705467</v>
      </c>
      <c r="CC62" s="16"/>
      <c r="CD62" s="15" t="s">
        <v>3</v>
      </c>
      <c r="CE62" s="12">
        <v>10</v>
      </c>
      <c r="CF62" s="14">
        <v>179999.99999996999</v>
      </c>
      <c r="CG62" s="12">
        <f t="shared" si="27"/>
        <v>2</v>
      </c>
      <c r="CH62" s="14">
        <f t="shared" si="28"/>
        <v>44571.428571430006</v>
      </c>
      <c r="CI62" s="13">
        <f t="shared" si="29"/>
        <v>0.32911392405071993</v>
      </c>
      <c r="CK62" s="16"/>
      <c r="CL62" s="15" t="s">
        <v>3</v>
      </c>
      <c r="CM62" s="12">
        <v>12</v>
      </c>
      <c r="CN62" s="14">
        <v>234571.42857138999</v>
      </c>
      <c r="CO62" s="12">
        <f t="shared" si="30"/>
        <v>2</v>
      </c>
      <c r="CP62" s="14">
        <f t="shared" si="31"/>
        <v>54571.428571419994</v>
      </c>
      <c r="CQ62" s="13">
        <f t="shared" si="32"/>
        <v>0.30317460317460604</v>
      </c>
      <c r="CS62" s="16"/>
      <c r="CT62" s="15" t="s">
        <v>3</v>
      </c>
      <c r="CU62" s="12">
        <v>6</v>
      </c>
      <c r="CV62" s="14">
        <v>96571.4285714</v>
      </c>
      <c r="CW62" s="12">
        <f t="shared" si="33"/>
        <v>-6</v>
      </c>
      <c r="CX62" s="14">
        <f t="shared" si="34"/>
        <v>-137999.99999998999</v>
      </c>
      <c r="CY62" s="13">
        <f t="shared" si="35"/>
        <v>-0.5883069427527946</v>
      </c>
    </row>
    <row r="63" spans="1:103" s="12" customFormat="1" ht="20" customHeight="1">
      <c r="A63" s="16"/>
      <c r="B63" s="15" t="s">
        <v>2</v>
      </c>
      <c r="C63" s="12">
        <v>6</v>
      </c>
      <c r="D63" s="14">
        <v>185733.33333330997</v>
      </c>
      <c r="E63" s="12" t="e">
        <f>C63-#REF!</f>
        <v>#REF!</v>
      </c>
      <c r="F63" s="14" t="e">
        <f>D63-#REF!</f>
        <v>#REF!</v>
      </c>
      <c r="G63" s="13" t="e">
        <f>(D63-#REF!)/#REF!</f>
        <v>#REF!</v>
      </c>
      <c r="I63" s="16"/>
      <c r="J63" s="15" t="s">
        <v>2</v>
      </c>
      <c r="K63" s="12">
        <v>8</v>
      </c>
      <c r="L63" s="14">
        <v>267428.57142853999</v>
      </c>
      <c r="M63" s="12">
        <f t="shared" si="42"/>
        <v>2</v>
      </c>
      <c r="N63" s="14">
        <f t="shared" si="43"/>
        <v>81695.238095230015</v>
      </c>
      <c r="O63" s="13">
        <f t="shared" si="44"/>
        <v>0.43985232283869502</v>
      </c>
      <c r="Q63" s="16"/>
      <c r="R63" s="15" t="s">
        <v>2</v>
      </c>
      <c r="S63" s="12">
        <v>20</v>
      </c>
      <c r="T63" s="14">
        <v>691809.52380948002</v>
      </c>
      <c r="U63" s="12">
        <f t="shared" si="3"/>
        <v>12</v>
      </c>
      <c r="V63" s="14">
        <f t="shared" si="4"/>
        <v>424380.95238094003</v>
      </c>
      <c r="W63" s="13">
        <f t="shared" si="5"/>
        <v>1.5868945868947273</v>
      </c>
      <c r="Y63" s="16"/>
      <c r="Z63" s="15" t="s">
        <v>2</v>
      </c>
      <c r="AA63" s="12">
        <v>10</v>
      </c>
      <c r="AB63" s="14">
        <v>290285.71428568999</v>
      </c>
      <c r="AC63" s="12">
        <f t="shared" si="6"/>
        <v>-10</v>
      </c>
      <c r="AD63" s="14">
        <f t="shared" si="7"/>
        <v>-401523.80952379003</v>
      </c>
      <c r="AE63" s="13">
        <f t="shared" si="8"/>
        <v>-0.58039647577093367</v>
      </c>
      <c r="AG63" s="16"/>
      <c r="AH63" s="15" t="s">
        <v>2</v>
      </c>
      <c r="AI63" s="12">
        <v>12</v>
      </c>
      <c r="AJ63" s="14">
        <v>394095.23809520004</v>
      </c>
      <c r="AK63" s="12">
        <f t="shared" si="9"/>
        <v>2</v>
      </c>
      <c r="AL63" s="14">
        <f t="shared" si="10"/>
        <v>103809.52380951005</v>
      </c>
      <c r="AM63" s="13">
        <f t="shared" si="11"/>
        <v>0.35761154855641297</v>
      </c>
      <c r="AO63" s="16"/>
      <c r="AP63" s="15" t="s">
        <v>2</v>
      </c>
      <c r="AQ63" s="12">
        <v>12</v>
      </c>
      <c r="AR63" s="14">
        <v>410761.90476188</v>
      </c>
      <c r="AS63" s="12">
        <f t="shared" si="12"/>
        <v>0</v>
      </c>
      <c r="AT63" s="14">
        <f t="shared" si="13"/>
        <v>16666.666666679957</v>
      </c>
      <c r="AU63" s="13">
        <f t="shared" si="14"/>
        <v>4.2290961817340857E-2</v>
      </c>
      <c r="AW63" s="16"/>
      <c r="AX63" s="15" t="s">
        <v>2</v>
      </c>
      <c r="AY63" s="12">
        <v>12</v>
      </c>
      <c r="AZ63" s="14">
        <v>387238.09523805999</v>
      </c>
      <c r="BA63" s="12">
        <f t="shared" si="15"/>
        <v>0</v>
      </c>
      <c r="BB63" s="14">
        <f t="shared" si="16"/>
        <v>-23523.809523820004</v>
      </c>
      <c r="BC63" s="13">
        <f t="shared" si="17"/>
        <v>-5.7268722466989316E-2</v>
      </c>
      <c r="BE63" s="16"/>
      <c r="BF63" s="15" t="s">
        <v>2</v>
      </c>
      <c r="BG63" s="12">
        <v>3</v>
      </c>
      <c r="BH63" s="14">
        <v>102095.23809523</v>
      </c>
      <c r="BI63" s="12">
        <f t="shared" si="18"/>
        <v>-9</v>
      </c>
      <c r="BJ63" s="14">
        <f t="shared" si="19"/>
        <v>-285142.85714282998</v>
      </c>
      <c r="BK63" s="13">
        <f t="shared" si="20"/>
        <v>-0.73635022134775885</v>
      </c>
      <c r="BL63" s="17"/>
      <c r="BM63" s="16"/>
      <c r="BN63" s="15" t="s">
        <v>2</v>
      </c>
      <c r="BO63" s="12">
        <v>2</v>
      </c>
      <c r="BP63" s="14">
        <v>58179.047619039993</v>
      </c>
      <c r="BQ63" s="12">
        <f t="shared" si="21"/>
        <v>-1</v>
      </c>
      <c r="BR63" s="14">
        <f t="shared" si="22"/>
        <v>-43916.190476190008</v>
      </c>
      <c r="BS63" s="13">
        <f t="shared" si="23"/>
        <v>-0.4301492537313728</v>
      </c>
      <c r="BU63" s="16"/>
      <c r="BV63" s="15" t="s">
        <v>2</v>
      </c>
      <c r="BW63" s="12">
        <v>6</v>
      </c>
      <c r="BX63" s="14">
        <v>211137.14285710998</v>
      </c>
      <c r="BY63" s="12">
        <f t="shared" si="24"/>
        <v>4</v>
      </c>
      <c r="BZ63" s="14">
        <f t="shared" si="25"/>
        <v>152958.09523807</v>
      </c>
      <c r="CA63" s="13">
        <f t="shared" si="26"/>
        <v>2.6290924567835674</v>
      </c>
      <c r="CC63" s="16"/>
      <c r="CD63" s="15" t="s">
        <v>2</v>
      </c>
      <c r="CE63" s="12">
        <v>3</v>
      </c>
      <c r="CF63" s="14">
        <v>83523.809523789998</v>
      </c>
      <c r="CG63" s="12">
        <f t="shared" si="27"/>
        <v>-3</v>
      </c>
      <c r="CH63" s="14">
        <f t="shared" si="28"/>
        <v>-127613.33333331998</v>
      </c>
      <c r="CI63" s="13">
        <f t="shared" si="29"/>
        <v>-0.60440968181370203</v>
      </c>
      <c r="CK63" s="16"/>
      <c r="CL63" s="15" t="s">
        <v>2</v>
      </c>
      <c r="CM63" s="12">
        <v>82</v>
      </c>
      <c r="CN63" s="14">
        <v>3050285.7142856405</v>
      </c>
      <c r="CO63" s="12">
        <f t="shared" si="30"/>
        <v>79</v>
      </c>
      <c r="CP63" s="14">
        <f t="shared" si="31"/>
        <v>2966761.9047618504</v>
      </c>
      <c r="CQ63" s="13">
        <f t="shared" si="32"/>
        <v>35.519954389973442</v>
      </c>
      <c r="CS63" s="16"/>
      <c r="CT63" s="15" t="s">
        <v>2</v>
      </c>
      <c r="CU63" s="12">
        <v>182</v>
      </c>
      <c r="CV63" s="14">
        <v>6973619.0476189405</v>
      </c>
      <c r="CW63" s="12">
        <f t="shared" si="33"/>
        <v>100</v>
      </c>
      <c r="CX63" s="14">
        <f t="shared" si="34"/>
        <v>3923333.3333333</v>
      </c>
      <c r="CY63" s="13">
        <f t="shared" si="35"/>
        <v>1.286218308979663</v>
      </c>
    </row>
    <row r="64" spans="1:103" s="2" customFormat="1" ht="20" customHeight="1">
      <c r="A64" s="11" t="s">
        <v>1</v>
      </c>
      <c r="B64" s="11"/>
      <c r="C64" s="10">
        <v>197</v>
      </c>
      <c r="D64" s="9">
        <v>1023657.6190470401</v>
      </c>
      <c r="E64" s="10" t="e">
        <f>C64-#REF!</f>
        <v>#REF!</v>
      </c>
      <c r="F64" s="9" t="e">
        <f>D64-#REF!</f>
        <v>#REF!</v>
      </c>
      <c r="G64" s="8" t="e">
        <f>(D64-#REF!)/#REF!</f>
        <v>#REF!</v>
      </c>
      <c r="I64" s="11" t="s">
        <v>1</v>
      </c>
      <c r="J64" s="11"/>
      <c r="K64" s="10">
        <v>178</v>
      </c>
      <c r="L64" s="9">
        <v>659727.14285667997</v>
      </c>
      <c r="M64" s="10">
        <f t="shared" si="42"/>
        <v>-19</v>
      </c>
      <c r="N64" s="9">
        <f t="shared" si="43"/>
        <v>-363930.47619036015</v>
      </c>
      <c r="O64" s="8">
        <f t="shared" si="44"/>
        <v>-0.35551972595012399</v>
      </c>
      <c r="Q64" s="11" t="s">
        <v>1</v>
      </c>
      <c r="R64" s="11"/>
      <c r="S64" s="10">
        <v>285</v>
      </c>
      <c r="T64" s="9">
        <v>1633302.3809515999</v>
      </c>
      <c r="U64" s="10">
        <f t="shared" si="3"/>
        <v>107</v>
      </c>
      <c r="V64" s="9">
        <f t="shared" si="4"/>
        <v>973575.23809491994</v>
      </c>
      <c r="W64" s="8">
        <f t="shared" si="5"/>
        <v>1.475724090840417</v>
      </c>
      <c r="Y64" s="11" t="s">
        <v>1</v>
      </c>
      <c r="Z64" s="11"/>
      <c r="AA64" s="10">
        <v>204</v>
      </c>
      <c r="AB64" s="9">
        <v>964971.90476136992</v>
      </c>
      <c r="AC64" s="10">
        <f t="shared" si="6"/>
        <v>-81</v>
      </c>
      <c r="AD64" s="9">
        <f t="shared" si="7"/>
        <v>-668330.47619022999</v>
      </c>
      <c r="AE64" s="8">
        <f t="shared" si="8"/>
        <v>-0.40918967852164956</v>
      </c>
      <c r="AG64" s="11" t="s">
        <v>1</v>
      </c>
      <c r="AH64" s="11"/>
      <c r="AI64" s="10">
        <v>196</v>
      </c>
      <c r="AJ64" s="9">
        <v>1059665.7142852601</v>
      </c>
      <c r="AK64" s="10">
        <f t="shared" si="9"/>
        <v>-8</v>
      </c>
      <c r="AL64" s="9">
        <f t="shared" si="10"/>
        <v>94693.809523890144</v>
      </c>
      <c r="AM64" s="8">
        <f t="shared" si="11"/>
        <v>9.8131157038512107E-2</v>
      </c>
      <c r="AO64" s="11" t="s">
        <v>1</v>
      </c>
      <c r="AP64" s="11"/>
      <c r="AQ64" s="10">
        <v>223</v>
      </c>
      <c r="AR64" s="9">
        <v>1236792.85714221</v>
      </c>
      <c r="AS64" s="10">
        <f t="shared" si="12"/>
        <v>27</v>
      </c>
      <c r="AT64" s="9">
        <f t="shared" si="13"/>
        <v>177127.14285694994</v>
      </c>
      <c r="AU64" s="8">
        <f t="shared" si="14"/>
        <v>0.16715379243577907</v>
      </c>
      <c r="AW64" s="11" t="s">
        <v>1</v>
      </c>
      <c r="AX64" s="11"/>
      <c r="AY64" s="10">
        <v>183</v>
      </c>
      <c r="AZ64" s="9">
        <v>1107633.8095232998</v>
      </c>
      <c r="BA64" s="10">
        <f t="shared" si="15"/>
        <v>-40</v>
      </c>
      <c r="BB64" s="9">
        <f t="shared" si="16"/>
        <v>-129159.0476189102</v>
      </c>
      <c r="BC64" s="8">
        <f t="shared" si="17"/>
        <v>-0.10443062221215522</v>
      </c>
      <c r="BE64" s="11" t="s">
        <v>1</v>
      </c>
      <c r="BF64" s="11"/>
      <c r="BG64" s="10">
        <v>186</v>
      </c>
      <c r="BH64" s="9">
        <v>588799.99999953003</v>
      </c>
      <c r="BI64" s="10">
        <f t="shared" si="18"/>
        <v>3</v>
      </c>
      <c r="BJ64" s="9">
        <f t="shared" si="19"/>
        <v>-518833.80952376977</v>
      </c>
      <c r="BK64" s="8">
        <f t="shared" si="20"/>
        <v>-0.46841637106316208</v>
      </c>
      <c r="BL64" s="7"/>
      <c r="BM64" s="11" t="s">
        <v>1</v>
      </c>
      <c r="BN64" s="11"/>
      <c r="BO64" s="10">
        <v>182</v>
      </c>
      <c r="BP64" s="9">
        <v>701470.95238043007</v>
      </c>
      <c r="BQ64" s="10">
        <f t="shared" si="21"/>
        <v>-4</v>
      </c>
      <c r="BR64" s="9">
        <f t="shared" si="22"/>
        <v>112670.95238090004</v>
      </c>
      <c r="BS64" s="8">
        <f t="shared" si="23"/>
        <v>0.19135691640793134</v>
      </c>
      <c r="BU64" s="11" t="s">
        <v>1</v>
      </c>
      <c r="BV64" s="11"/>
      <c r="BW64" s="10">
        <v>158</v>
      </c>
      <c r="BX64" s="9">
        <v>725612.85714234994</v>
      </c>
      <c r="BY64" s="10">
        <f t="shared" si="24"/>
        <v>-24</v>
      </c>
      <c r="BZ64" s="9">
        <f t="shared" si="25"/>
        <v>24141.904761919868</v>
      </c>
      <c r="CA64" s="8">
        <f t="shared" si="26"/>
        <v>3.4416114708662869E-2</v>
      </c>
      <c r="CC64" s="11" t="s">
        <v>1</v>
      </c>
      <c r="CD64" s="11"/>
      <c r="CE64" s="10">
        <v>150</v>
      </c>
      <c r="CF64" s="9">
        <v>552847.14285676007</v>
      </c>
      <c r="CG64" s="10">
        <f t="shared" si="27"/>
        <v>-8</v>
      </c>
      <c r="CH64" s="9">
        <f t="shared" si="28"/>
        <v>-172765.71428558987</v>
      </c>
      <c r="CI64" s="8">
        <f t="shared" si="29"/>
        <v>-0.23809626936047645</v>
      </c>
      <c r="CK64" s="11" t="s">
        <v>1</v>
      </c>
      <c r="CL64" s="11"/>
      <c r="CM64" s="10">
        <v>261</v>
      </c>
      <c r="CN64" s="9">
        <v>3697288.0952375005</v>
      </c>
      <c r="CO64" s="10">
        <f t="shared" si="30"/>
        <v>111</v>
      </c>
      <c r="CP64" s="9">
        <f t="shared" si="31"/>
        <v>3144440.9523807405</v>
      </c>
      <c r="CQ64" s="8">
        <f t="shared" si="32"/>
        <v>5.6877221724114966</v>
      </c>
      <c r="CS64" s="11" t="s">
        <v>1</v>
      </c>
      <c r="CT64" s="11"/>
      <c r="CU64" s="10">
        <v>591</v>
      </c>
      <c r="CV64" s="9">
        <v>7826911.9047608003</v>
      </c>
      <c r="CW64" s="10">
        <f t="shared" si="33"/>
        <v>330</v>
      </c>
      <c r="CX64" s="9">
        <f t="shared" si="34"/>
        <v>4129623.8095232998</v>
      </c>
      <c r="CY64" s="8">
        <f t="shared" si="35"/>
        <v>1.1169331962101341</v>
      </c>
    </row>
    <row r="65" spans="1:103" s="2" customFormat="1" ht="20" customHeight="1">
      <c r="A65" s="6" t="s">
        <v>0</v>
      </c>
      <c r="B65" s="6"/>
      <c r="C65" s="5">
        <v>1119</v>
      </c>
      <c r="D65" s="4">
        <v>7014936.1904735593</v>
      </c>
      <c r="E65" s="5" t="e">
        <f>C65-#REF!</f>
        <v>#REF!</v>
      </c>
      <c r="F65" s="4" t="e">
        <f>D65-#REF!</f>
        <v>#REF!</v>
      </c>
      <c r="G65" s="3" t="e">
        <f>(D65-#REF!)/#REF!</f>
        <v>#REF!</v>
      </c>
      <c r="I65" s="6" t="s">
        <v>0</v>
      </c>
      <c r="J65" s="6"/>
      <c r="K65" s="5">
        <v>1128</v>
      </c>
      <c r="L65" s="4">
        <v>5945975.2380926106</v>
      </c>
      <c r="M65" s="5">
        <f t="shared" si="42"/>
        <v>9</v>
      </c>
      <c r="N65" s="4">
        <f t="shared" si="43"/>
        <v>-1068960.9523809487</v>
      </c>
      <c r="O65" s="3">
        <f t="shared" si="44"/>
        <v>-0.15238356035691694</v>
      </c>
      <c r="Q65" s="6" t="s">
        <v>0</v>
      </c>
      <c r="R65" s="6"/>
      <c r="S65" s="5">
        <v>1264</v>
      </c>
      <c r="T65" s="4">
        <v>7467674.761901889</v>
      </c>
      <c r="U65" s="5">
        <f t="shared" si="3"/>
        <v>136</v>
      </c>
      <c r="V65" s="4">
        <f t="shared" si="4"/>
        <v>1521699.5238092784</v>
      </c>
      <c r="W65" s="3">
        <f t="shared" si="5"/>
        <v>0.25592093187011306</v>
      </c>
      <c r="Y65" s="6" t="s">
        <v>0</v>
      </c>
      <c r="Z65" s="6"/>
      <c r="AA65" s="5">
        <v>1086</v>
      </c>
      <c r="AB65" s="4">
        <v>5494867.6190452017</v>
      </c>
      <c r="AC65" s="5">
        <f t="shared" si="6"/>
        <v>-178</v>
      </c>
      <c r="AD65" s="4">
        <f t="shared" si="7"/>
        <v>-1972807.1428566873</v>
      </c>
      <c r="AE65" s="3">
        <f t="shared" si="8"/>
        <v>-0.26417957473475279</v>
      </c>
      <c r="AG65" s="6" t="s">
        <v>0</v>
      </c>
      <c r="AH65" s="6"/>
      <c r="AI65" s="5">
        <v>1018</v>
      </c>
      <c r="AJ65" s="4">
        <v>5614521.9047596995</v>
      </c>
      <c r="AK65" s="5">
        <f t="shared" si="9"/>
        <v>-68</v>
      </c>
      <c r="AL65" s="4">
        <f t="shared" si="10"/>
        <v>119654.28571449779</v>
      </c>
      <c r="AM65" s="3">
        <f t="shared" si="11"/>
        <v>2.1775644839882265E-2</v>
      </c>
      <c r="AO65" s="6" t="s">
        <v>0</v>
      </c>
      <c r="AP65" s="6"/>
      <c r="AQ65" s="5">
        <v>1164</v>
      </c>
      <c r="AR65" s="4">
        <v>5955100.952378178</v>
      </c>
      <c r="AS65" s="5">
        <f t="shared" si="12"/>
        <v>146</v>
      </c>
      <c r="AT65" s="4">
        <f t="shared" si="13"/>
        <v>340579.04761847854</v>
      </c>
      <c r="AU65" s="3">
        <f t="shared" si="14"/>
        <v>6.0660382735305274E-2</v>
      </c>
      <c r="AW65" s="6" t="s">
        <v>0</v>
      </c>
      <c r="AX65" s="6"/>
      <c r="AY65" s="5">
        <v>1071</v>
      </c>
      <c r="AZ65" s="4">
        <v>5680006.6666640602</v>
      </c>
      <c r="BA65" s="5">
        <f t="shared" si="15"/>
        <v>-93</v>
      </c>
      <c r="BB65" s="4">
        <f t="shared" si="16"/>
        <v>-275094.28571411781</v>
      </c>
      <c r="BC65" s="3">
        <f t="shared" si="17"/>
        <v>-4.6194730855781463E-2</v>
      </c>
      <c r="BE65" s="6" t="s">
        <v>0</v>
      </c>
      <c r="BF65" s="6"/>
      <c r="BG65" s="5">
        <v>1225</v>
      </c>
      <c r="BH65" s="4">
        <v>5239810.952378531</v>
      </c>
      <c r="BI65" s="5">
        <f t="shared" si="18"/>
        <v>154</v>
      </c>
      <c r="BJ65" s="4">
        <f t="shared" si="19"/>
        <v>-440195.71428552922</v>
      </c>
      <c r="BK65" s="3">
        <f t="shared" si="20"/>
        <v>-7.7499154511391041E-2</v>
      </c>
      <c r="BL65" s="7"/>
      <c r="BM65" s="6" t="s">
        <v>0</v>
      </c>
      <c r="BN65" s="6"/>
      <c r="BO65" s="5">
        <v>1154</v>
      </c>
      <c r="BP65" s="4">
        <v>5027770.4761879807</v>
      </c>
      <c r="BQ65" s="5">
        <f t="shared" si="21"/>
        <v>-71</v>
      </c>
      <c r="BR65" s="4">
        <f t="shared" si="22"/>
        <v>-212040.47619055025</v>
      </c>
      <c r="BS65" s="3">
        <f t="shared" si="23"/>
        <v>-4.0467199698168074E-2</v>
      </c>
      <c r="BU65" s="6" t="s">
        <v>0</v>
      </c>
      <c r="BV65" s="6"/>
      <c r="BW65" s="5">
        <v>902</v>
      </c>
      <c r="BX65" s="4">
        <v>4115238.5714264498</v>
      </c>
      <c r="BY65" s="5">
        <f t="shared" si="24"/>
        <v>-252</v>
      </c>
      <c r="BZ65" s="4">
        <f t="shared" si="25"/>
        <v>-912531.90476153092</v>
      </c>
      <c r="CA65" s="3">
        <f t="shared" si="26"/>
        <v>-0.1814983219865291</v>
      </c>
      <c r="CC65" s="6" t="s">
        <v>0</v>
      </c>
      <c r="CD65" s="6"/>
      <c r="CE65" s="5">
        <v>1031</v>
      </c>
      <c r="CF65" s="4">
        <v>5765451.4285692107</v>
      </c>
      <c r="CG65" s="5">
        <f t="shared" si="27"/>
        <v>129</v>
      </c>
      <c r="CH65" s="4">
        <f t="shared" si="28"/>
        <v>1650212.8571427609</v>
      </c>
      <c r="CI65" s="3">
        <f t="shared" si="29"/>
        <v>0.40100053216860126</v>
      </c>
      <c r="CK65" s="6" t="s">
        <v>0</v>
      </c>
      <c r="CL65" s="6"/>
      <c r="CM65" s="5">
        <v>1933</v>
      </c>
      <c r="CN65" s="4">
        <v>24453592.857139081</v>
      </c>
      <c r="CO65" s="5">
        <f t="shared" si="30"/>
        <v>902</v>
      </c>
      <c r="CP65" s="4">
        <f t="shared" si="31"/>
        <v>18688141.428569868</v>
      </c>
      <c r="CQ65" s="3">
        <f t="shared" si="32"/>
        <v>3.2414012432687564</v>
      </c>
      <c r="CS65" s="6" t="s">
        <v>0</v>
      </c>
      <c r="CT65" s="6"/>
      <c r="CU65" s="5">
        <v>3298</v>
      </c>
      <c r="CV65" s="4">
        <v>45571357.142851554</v>
      </c>
      <c r="CW65" s="5">
        <f t="shared" si="33"/>
        <v>1365</v>
      </c>
      <c r="CX65" s="4">
        <f t="shared" si="34"/>
        <v>21117764.285712473</v>
      </c>
      <c r="CY65" s="3">
        <f t="shared" si="35"/>
        <v>0.86358533934400028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5" operator="containsText" id="{49832380-8608-5A4F-B5A4-1CBF8A79C7B2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23" operator="containsText" id="{4ED0F05C-CAC6-4642-A292-AE4BE829800B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21" operator="containsText" id="{29B1F65F-50A6-D441-BC10-4414F33AA555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19" operator="containsText" id="{E076015F-A689-C947-A19E-76E280915EE4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17" operator="containsText" id="{E8C5629C-5C74-0D4A-BF59-5D048AE05C40}">
            <xm:f>NOT(ISERROR(SEARCH("-",AK5)))</xm:f>
            <xm:f>"-"</xm:f>
            <x14:dxf>
              <font>
                <color rgb="FFFF0000"/>
              </font>
            </x14:dxf>
          </x14:cfRule>
          <xm:sqref>AK5:AM65</xm:sqref>
        </x14:conditionalFormatting>
        <x14:conditionalFormatting xmlns:xm="http://schemas.microsoft.com/office/excel/2006/main">
          <x14:cfRule type="containsText" priority="15" operator="containsText" id="{D32C177B-AB90-8747-AE5E-E7304F2D88A5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13" operator="containsText" id="{53672ACA-7E6E-DA48-BA87-86188D823119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11" operator="containsText" id="{7219EF3E-47AF-0643-936E-21718AF6D875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9" operator="containsText" id="{C13B6766-0152-764C-919F-451987B8936F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7" operator="containsText" id="{B9F050C7-5A37-BE4F-9798-6A88A77A41CD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  <x14:conditionalFormatting xmlns:xm="http://schemas.microsoft.com/office/excel/2006/main">
          <x14:cfRule type="containsText" priority="5" operator="containsText" id="{AC1457FD-15A5-184B-8953-EA379236BCC6}">
            <xm:f>NOT(ISERROR(SEARCH("-",CG5)))</xm:f>
            <xm:f>"-"</xm:f>
            <x14:dxf>
              <font>
                <color rgb="FFFF0000"/>
              </font>
            </x14:dxf>
          </x14:cfRule>
          <xm:sqref>CG5:CI65</xm:sqref>
        </x14:conditionalFormatting>
        <x14:conditionalFormatting xmlns:xm="http://schemas.microsoft.com/office/excel/2006/main">
          <x14:cfRule type="containsText" priority="3" operator="containsText" id="{983EAB66-18AB-D043-8C1F-6BDA811C5BC3}">
            <xm:f>NOT(ISERROR(SEARCH("-",CO5)))</xm:f>
            <xm:f>"-"</xm:f>
            <x14:dxf>
              <font>
                <color rgb="FFFF0000"/>
              </font>
            </x14:dxf>
          </x14:cfRule>
          <xm:sqref>CO5:CQ65</xm:sqref>
        </x14:conditionalFormatting>
        <x14:conditionalFormatting xmlns:xm="http://schemas.microsoft.com/office/excel/2006/main">
          <x14:cfRule type="containsText" priority="1" operator="containsText" id="{2165078A-471D-8A4E-A1E1-39FCD5EB2066}">
            <xm:f>NOT(ISERROR(SEARCH("-",CW5)))</xm:f>
            <xm:f>"-"</xm:f>
            <x14:dxf>
              <font>
                <color rgb="FFFF0000"/>
              </font>
            </x14:dxf>
          </x14:cfRule>
          <xm:sqref>CW5:CY65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2025-11-19T08:52:39Z</dcterms:created>
  <dcterms:modified xsi:type="dcterms:W3CDTF">2025-11-22T09:48:31Z</dcterms:modified>
</cp:coreProperties>
</file>