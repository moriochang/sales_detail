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GitHub/QBR/data/"/>
    </mc:Choice>
  </mc:AlternateContent>
  <xr:revisionPtr revIDLastSave="0" documentId="13_ncr:1_{A3EFCC8F-3733-2149-983B-376333303236}" xr6:coauthVersionLast="47" xr6:coauthVersionMax="47" xr10:uidLastSave="{00000000-0000-0000-0000-000000000000}"/>
  <bookViews>
    <workbookView xWindow="13700" yWindow="1000" windowWidth="19520" windowHeight="20160" xr2:uid="{021FACC0-6583-9245-81B4-0A7BE4D712CF}"/>
  </bookViews>
  <sheets>
    <sheet name="26Q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5" i="2" l="1"/>
  <c r="CX65" i="2"/>
  <c r="CW65" i="2"/>
  <c r="CY64" i="2"/>
  <c r="CX64" i="2"/>
  <c r="CW64" i="2"/>
  <c r="CY63" i="2"/>
  <c r="CX63" i="2"/>
  <c r="CW63" i="2"/>
  <c r="CY62" i="2"/>
  <c r="CX62" i="2"/>
  <c r="CW62" i="2"/>
  <c r="CY61" i="2"/>
  <c r="CX61" i="2"/>
  <c r="CW61" i="2"/>
  <c r="CY60" i="2"/>
  <c r="CX60" i="2"/>
  <c r="CW60" i="2"/>
  <c r="CY59" i="2"/>
  <c r="CX59" i="2"/>
  <c r="CW59" i="2"/>
  <c r="CY58" i="2"/>
  <c r="CX58" i="2"/>
  <c r="CW58" i="2"/>
  <c r="CY57" i="2"/>
  <c r="CX57" i="2"/>
  <c r="CW57" i="2"/>
  <c r="CY56" i="2"/>
  <c r="CX56" i="2"/>
  <c r="CW56" i="2"/>
  <c r="CY55" i="2"/>
  <c r="CX55" i="2"/>
  <c r="CW55" i="2"/>
  <c r="CY54" i="2"/>
  <c r="CX54" i="2"/>
  <c r="CW54" i="2"/>
  <c r="CY53" i="2"/>
  <c r="CX53" i="2"/>
  <c r="CW53" i="2"/>
  <c r="CY52" i="2"/>
  <c r="CX52" i="2"/>
  <c r="CW52" i="2"/>
  <c r="CY51" i="2"/>
  <c r="CX51" i="2"/>
  <c r="CW51" i="2"/>
  <c r="CY50" i="2"/>
  <c r="CX50" i="2"/>
  <c r="CW50" i="2"/>
  <c r="CY49" i="2"/>
  <c r="CX49" i="2"/>
  <c r="CW49" i="2"/>
  <c r="CY48" i="2"/>
  <c r="CX48" i="2"/>
  <c r="CW48" i="2"/>
  <c r="CY47" i="2"/>
  <c r="CX47" i="2"/>
  <c r="CW47" i="2"/>
  <c r="CY46" i="2"/>
  <c r="CX46" i="2"/>
  <c r="CW46" i="2"/>
  <c r="CY45" i="2"/>
  <c r="CX45" i="2"/>
  <c r="CW45" i="2"/>
  <c r="CY44" i="2"/>
  <c r="CX44" i="2"/>
  <c r="CW44" i="2"/>
  <c r="CY43" i="2"/>
  <c r="CX43" i="2"/>
  <c r="CW43" i="2"/>
  <c r="CY42" i="2"/>
  <c r="CX42" i="2"/>
  <c r="CW42" i="2"/>
  <c r="CY41" i="2"/>
  <c r="CX41" i="2"/>
  <c r="CW41" i="2"/>
  <c r="CY40" i="2"/>
  <c r="CX40" i="2"/>
  <c r="CW40" i="2"/>
  <c r="CY39" i="2"/>
  <c r="CX39" i="2"/>
  <c r="CW39" i="2"/>
  <c r="CY38" i="2"/>
  <c r="CX38" i="2"/>
  <c r="CW38" i="2"/>
  <c r="CY37" i="2"/>
  <c r="CX37" i="2"/>
  <c r="CW37" i="2"/>
  <c r="CY36" i="2"/>
  <c r="CX36" i="2"/>
  <c r="CW36" i="2"/>
  <c r="CY35" i="2"/>
  <c r="CX35" i="2"/>
  <c r="CW35" i="2"/>
  <c r="CY34" i="2"/>
  <c r="CX34" i="2"/>
  <c r="CW34" i="2"/>
  <c r="CY33" i="2"/>
  <c r="CX33" i="2"/>
  <c r="CW33" i="2"/>
  <c r="CY32" i="2"/>
  <c r="CX32" i="2"/>
  <c r="CW32" i="2"/>
  <c r="CY31" i="2"/>
  <c r="CX31" i="2"/>
  <c r="CW31" i="2"/>
  <c r="CY30" i="2"/>
  <c r="CX30" i="2"/>
  <c r="CW30" i="2"/>
  <c r="CY29" i="2"/>
  <c r="CX29" i="2"/>
  <c r="CW29" i="2"/>
  <c r="CY28" i="2"/>
  <c r="CX28" i="2"/>
  <c r="CW28" i="2"/>
  <c r="CY27" i="2"/>
  <c r="CX27" i="2"/>
  <c r="CW27" i="2"/>
  <c r="CY26" i="2"/>
  <c r="CX26" i="2"/>
  <c r="CW26" i="2"/>
  <c r="CY25" i="2"/>
  <c r="CX25" i="2"/>
  <c r="CW25" i="2"/>
  <c r="CY24" i="2"/>
  <c r="CX24" i="2"/>
  <c r="CW24" i="2"/>
  <c r="CY23" i="2"/>
  <c r="CX23" i="2"/>
  <c r="CW23" i="2"/>
  <c r="CY22" i="2"/>
  <c r="CX22" i="2"/>
  <c r="CW22" i="2"/>
  <c r="CY21" i="2"/>
  <c r="CX21" i="2"/>
  <c r="CW21" i="2"/>
  <c r="CY20" i="2"/>
  <c r="CX20" i="2"/>
  <c r="CW20" i="2"/>
  <c r="CY19" i="2"/>
  <c r="CX19" i="2"/>
  <c r="CW19" i="2"/>
  <c r="CY18" i="2"/>
  <c r="CX18" i="2"/>
  <c r="CW18" i="2"/>
  <c r="CY17" i="2"/>
  <c r="CX17" i="2"/>
  <c r="CW17" i="2"/>
  <c r="CY16" i="2"/>
  <c r="CX16" i="2"/>
  <c r="CW16" i="2"/>
  <c r="CY15" i="2"/>
  <c r="CX15" i="2"/>
  <c r="CW15" i="2"/>
  <c r="CY14" i="2"/>
  <c r="CX14" i="2"/>
  <c r="CW14" i="2"/>
  <c r="CY13" i="2"/>
  <c r="CX13" i="2"/>
  <c r="CW13" i="2"/>
  <c r="CY12" i="2"/>
  <c r="CX12" i="2"/>
  <c r="CW12" i="2"/>
  <c r="CY11" i="2"/>
  <c r="CX11" i="2"/>
  <c r="CW11" i="2"/>
  <c r="CY10" i="2"/>
  <c r="CX10" i="2"/>
  <c r="CW10" i="2"/>
  <c r="CY9" i="2"/>
  <c r="CX9" i="2"/>
  <c r="CW9" i="2"/>
  <c r="CY8" i="2"/>
  <c r="CX8" i="2"/>
  <c r="CW8" i="2"/>
  <c r="CY7" i="2"/>
  <c r="CX7" i="2"/>
  <c r="CW7" i="2"/>
  <c r="CY6" i="2"/>
  <c r="CX6" i="2"/>
  <c r="CW6" i="2"/>
  <c r="CY5" i="2"/>
  <c r="CX5" i="2"/>
  <c r="CW5" i="2"/>
  <c r="CQ65" i="2"/>
  <c r="CP65" i="2"/>
  <c r="CO65" i="2"/>
  <c r="CQ64" i="2"/>
  <c r="CP64" i="2"/>
  <c r="CO64" i="2"/>
  <c r="CQ63" i="2"/>
  <c r="CP63" i="2"/>
  <c r="CO63" i="2"/>
  <c r="CQ62" i="2"/>
  <c r="CP62" i="2"/>
  <c r="CO62" i="2"/>
  <c r="CQ61" i="2"/>
  <c r="CP61" i="2"/>
  <c r="CO61" i="2"/>
  <c r="CQ60" i="2"/>
  <c r="CP60" i="2"/>
  <c r="CO60" i="2"/>
  <c r="CQ59" i="2"/>
  <c r="CP59" i="2"/>
  <c r="CO59" i="2"/>
  <c r="CQ58" i="2"/>
  <c r="CP58" i="2"/>
  <c r="CO58" i="2"/>
  <c r="CQ57" i="2"/>
  <c r="CP57" i="2"/>
  <c r="CO57" i="2"/>
  <c r="CQ56" i="2"/>
  <c r="CP56" i="2"/>
  <c r="CO56" i="2"/>
  <c r="CQ55" i="2"/>
  <c r="CP55" i="2"/>
  <c r="CO55" i="2"/>
  <c r="CQ54" i="2"/>
  <c r="CP54" i="2"/>
  <c r="CO54" i="2"/>
  <c r="CQ53" i="2"/>
  <c r="CP53" i="2"/>
  <c r="CO53" i="2"/>
  <c r="CQ52" i="2"/>
  <c r="CP52" i="2"/>
  <c r="CO52" i="2"/>
  <c r="CQ51" i="2"/>
  <c r="CP51" i="2"/>
  <c r="CO51" i="2"/>
  <c r="CQ50" i="2"/>
  <c r="CP50" i="2"/>
  <c r="CO50" i="2"/>
  <c r="CQ49" i="2"/>
  <c r="CP49" i="2"/>
  <c r="CO49" i="2"/>
  <c r="CQ48" i="2"/>
  <c r="CP48" i="2"/>
  <c r="CO48" i="2"/>
  <c r="CQ47" i="2"/>
  <c r="CP47" i="2"/>
  <c r="CO47" i="2"/>
  <c r="CQ46" i="2"/>
  <c r="CP46" i="2"/>
  <c r="CO46" i="2"/>
  <c r="CQ45" i="2"/>
  <c r="CP45" i="2"/>
  <c r="CO45" i="2"/>
  <c r="CQ44" i="2"/>
  <c r="CP44" i="2"/>
  <c r="CO44" i="2"/>
  <c r="CQ43" i="2"/>
  <c r="CP43" i="2"/>
  <c r="CO43" i="2"/>
  <c r="CQ42" i="2"/>
  <c r="CP42" i="2"/>
  <c r="CO42" i="2"/>
  <c r="CQ41" i="2"/>
  <c r="CP41" i="2"/>
  <c r="CO41" i="2"/>
  <c r="CQ40" i="2"/>
  <c r="CP40" i="2"/>
  <c r="CO40" i="2"/>
  <c r="CQ39" i="2"/>
  <c r="CP39" i="2"/>
  <c r="CO39" i="2"/>
  <c r="CQ38" i="2"/>
  <c r="CP38" i="2"/>
  <c r="CO38" i="2"/>
  <c r="CQ37" i="2"/>
  <c r="CP37" i="2"/>
  <c r="CO37" i="2"/>
  <c r="CQ36" i="2"/>
  <c r="CP36" i="2"/>
  <c r="CO36" i="2"/>
  <c r="CQ35" i="2"/>
  <c r="CP35" i="2"/>
  <c r="CO35" i="2"/>
  <c r="CQ34" i="2"/>
  <c r="CP34" i="2"/>
  <c r="CO34" i="2"/>
  <c r="CQ33" i="2"/>
  <c r="CP33" i="2"/>
  <c r="CO33" i="2"/>
  <c r="CQ32" i="2"/>
  <c r="CP32" i="2"/>
  <c r="CO32" i="2"/>
  <c r="CQ31" i="2"/>
  <c r="CP31" i="2"/>
  <c r="CO31" i="2"/>
  <c r="CQ30" i="2"/>
  <c r="CP30" i="2"/>
  <c r="CO30" i="2"/>
  <c r="CQ29" i="2"/>
  <c r="CP29" i="2"/>
  <c r="CO29" i="2"/>
  <c r="CQ28" i="2"/>
  <c r="CP28" i="2"/>
  <c r="CO28" i="2"/>
  <c r="CQ27" i="2"/>
  <c r="CP27" i="2"/>
  <c r="CO27" i="2"/>
  <c r="CQ26" i="2"/>
  <c r="CP26" i="2"/>
  <c r="CO26" i="2"/>
  <c r="CQ25" i="2"/>
  <c r="CP25" i="2"/>
  <c r="CO25" i="2"/>
  <c r="CQ24" i="2"/>
  <c r="CP24" i="2"/>
  <c r="CO24" i="2"/>
  <c r="CQ23" i="2"/>
  <c r="CP23" i="2"/>
  <c r="CO23" i="2"/>
  <c r="CQ22" i="2"/>
  <c r="CP22" i="2"/>
  <c r="CO22" i="2"/>
  <c r="CQ21" i="2"/>
  <c r="CP21" i="2"/>
  <c r="CO21" i="2"/>
  <c r="CQ20" i="2"/>
  <c r="CP20" i="2"/>
  <c r="CO20" i="2"/>
  <c r="CQ19" i="2"/>
  <c r="CP19" i="2"/>
  <c r="CO19" i="2"/>
  <c r="CQ18" i="2"/>
  <c r="CP18" i="2"/>
  <c r="CO18" i="2"/>
  <c r="CQ17" i="2"/>
  <c r="CP17" i="2"/>
  <c r="CO17" i="2"/>
  <c r="CQ16" i="2"/>
  <c r="CP16" i="2"/>
  <c r="CO16" i="2"/>
  <c r="CQ15" i="2"/>
  <c r="CP15" i="2"/>
  <c r="CO15" i="2"/>
  <c r="CQ14" i="2"/>
  <c r="CP14" i="2"/>
  <c r="CO14" i="2"/>
  <c r="CQ13" i="2"/>
  <c r="CP13" i="2"/>
  <c r="CO13" i="2"/>
  <c r="CQ12" i="2"/>
  <c r="CP12" i="2"/>
  <c r="CO12" i="2"/>
  <c r="CQ11" i="2"/>
  <c r="CP11" i="2"/>
  <c r="CO11" i="2"/>
  <c r="CQ10" i="2"/>
  <c r="CP10" i="2"/>
  <c r="CO10" i="2"/>
  <c r="CQ9" i="2"/>
  <c r="CP9" i="2"/>
  <c r="CO9" i="2"/>
  <c r="CQ8" i="2"/>
  <c r="CP8" i="2"/>
  <c r="CO8" i="2"/>
  <c r="CQ7" i="2"/>
  <c r="CP7" i="2"/>
  <c r="CO7" i="2"/>
  <c r="CQ6" i="2"/>
  <c r="CP6" i="2"/>
  <c r="CO6" i="2"/>
  <c r="CQ5" i="2"/>
  <c r="CP5" i="2"/>
  <c r="CO5" i="2"/>
  <c r="CI65" i="2"/>
  <c r="CH65" i="2"/>
  <c r="CG65" i="2"/>
  <c r="CI64" i="2"/>
  <c r="CH64" i="2"/>
  <c r="CG64" i="2"/>
  <c r="CI63" i="2"/>
  <c r="CH63" i="2"/>
  <c r="CG63" i="2"/>
  <c r="CI62" i="2"/>
  <c r="CH62" i="2"/>
  <c r="CG62" i="2"/>
  <c r="CI61" i="2"/>
  <c r="CH61" i="2"/>
  <c r="CG61" i="2"/>
  <c r="CI60" i="2"/>
  <c r="CH60" i="2"/>
  <c r="CG60" i="2"/>
  <c r="CI59" i="2"/>
  <c r="CH59" i="2"/>
  <c r="CG59" i="2"/>
  <c r="CI58" i="2"/>
  <c r="CH58" i="2"/>
  <c r="CG58" i="2"/>
  <c r="CI57" i="2"/>
  <c r="CH57" i="2"/>
  <c r="CG57" i="2"/>
  <c r="CI56" i="2"/>
  <c r="CH56" i="2"/>
  <c r="CG56" i="2"/>
  <c r="CI55" i="2"/>
  <c r="CH55" i="2"/>
  <c r="CG55" i="2"/>
  <c r="CI54" i="2"/>
  <c r="CH54" i="2"/>
  <c r="CG54" i="2"/>
  <c r="CI53" i="2"/>
  <c r="CH53" i="2"/>
  <c r="CG53" i="2"/>
  <c r="CI52" i="2"/>
  <c r="CH52" i="2"/>
  <c r="CG52" i="2"/>
  <c r="CI51" i="2"/>
  <c r="CH51" i="2"/>
  <c r="CG51" i="2"/>
  <c r="CI50" i="2"/>
  <c r="CH50" i="2"/>
  <c r="CG50" i="2"/>
  <c r="CI49" i="2"/>
  <c r="CH49" i="2"/>
  <c r="CG49" i="2"/>
  <c r="CI48" i="2"/>
  <c r="CH48" i="2"/>
  <c r="CG48" i="2"/>
  <c r="CI47" i="2"/>
  <c r="CH47" i="2"/>
  <c r="CG47" i="2"/>
  <c r="CI46" i="2"/>
  <c r="CH46" i="2"/>
  <c r="CG46" i="2"/>
  <c r="CI45" i="2"/>
  <c r="CH45" i="2"/>
  <c r="CG45" i="2"/>
  <c r="CI44" i="2"/>
  <c r="CH44" i="2"/>
  <c r="CG44" i="2"/>
  <c r="CI43" i="2"/>
  <c r="CH43" i="2"/>
  <c r="CG43" i="2"/>
  <c r="CI42" i="2"/>
  <c r="CH42" i="2"/>
  <c r="CG42" i="2"/>
  <c r="CI41" i="2"/>
  <c r="CH41" i="2"/>
  <c r="CG41" i="2"/>
  <c r="CI40" i="2"/>
  <c r="CH40" i="2"/>
  <c r="CG40" i="2"/>
  <c r="CI39" i="2"/>
  <c r="CH39" i="2"/>
  <c r="CG39" i="2"/>
  <c r="CI38" i="2"/>
  <c r="CH38" i="2"/>
  <c r="CG38" i="2"/>
  <c r="CI37" i="2"/>
  <c r="CH37" i="2"/>
  <c r="CG37" i="2"/>
  <c r="CI36" i="2"/>
  <c r="CH36" i="2"/>
  <c r="CG36" i="2"/>
  <c r="CI35" i="2"/>
  <c r="CH35" i="2"/>
  <c r="CG35" i="2"/>
  <c r="CI34" i="2"/>
  <c r="CH34" i="2"/>
  <c r="CG34" i="2"/>
  <c r="CI33" i="2"/>
  <c r="CH33" i="2"/>
  <c r="CG33" i="2"/>
  <c r="CI32" i="2"/>
  <c r="CH32" i="2"/>
  <c r="CG32" i="2"/>
  <c r="CI31" i="2"/>
  <c r="CH31" i="2"/>
  <c r="CG31" i="2"/>
  <c r="CI30" i="2"/>
  <c r="CH30" i="2"/>
  <c r="CG30" i="2"/>
  <c r="CI29" i="2"/>
  <c r="CH29" i="2"/>
  <c r="CG29" i="2"/>
  <c r="CI28" i="2"/>
  <c r="CH28" i="2"/>
  <c r="CG28" i="2"/>
  <c r="CI27" i="2"/>
  <c r="CH27" i="2"/>
  <c r="CG27" i="2"/>
  <c r="CI26" i="2"/>
  <c r="CH26" i="2"/>
  <c r="CG26" i="2"/>
  <c r="CI25" i="2"/>
  <c r="CH25" i="2"/>
  <c r="CG25" i="2"/>
  <c r="CI24" i="2"/>
  <c r="CH24" i="2"/>
  <c r="CG24" i="2"/>
  <c r="CI23" i="2"/>
  <c r="CH23" i="2"/>
  <c r="CG23" i="2"/>
  <c r="CI22" i="2"/>
  <c r="CH22" i="2"/>
  <c r="CG22" i="2"/>
  <c r="CI21" i="2"/>
  <c r="CH21" i="2"/>
  <c r="CG21" i="2"/>
  <c r="CI20" i="2"/>
  <c r="CH20" i="2"/>
  <c r="CG20" i="2"/>
  <c r="CI19" i="2"/>
  <c r="CH19" i="2"/>
  <c r="CG19" i="2"/>
  <c r="CI18" i="2"/>
  <c r="CH18" i="2"/>
  <c r="CG18" i="2"/>
  <c r="CI17" i="2"/>
  <c r="CH17" i="2"/>
  <c r="CG17" i="2"/>
  <c r="CI16" i="2"/>
  <c r="CH16" i="2"/>
  <c r="CG16" i="2"/>
  <c r="CI15" i="2"/>
  <c r="CH15" i="2"/>
  <c r="CG15" i="2"/>
  <c r="CI14" i="2"/>
  <c r="CH14" i="2"/>
  <c r="CG14" i="2"/>
  <c r="CI13" i="2"/>
  <c r="CH13" i="2"/>
  <c r="CG13" i="2"/>
  <c r="CI12" i="2"/>
  <c r="CH12" i="2"/>
  <c r="CG12" i="2"/>
  <c r="CI11" i="2"/>
  <c r="CH11" i="2"/>
  <c r="CG11" i="2"/>
  <c r="CI10" i="2"/>
  <c r="CH10" i="2"/>
  <c r="CG10" i="2"/>
  <c r="CI9" i="2"/>
  <c r="CH9" i="2"/>
  <c r="CG9" i="2"/>
  <c r="CI8" i="2"/>
  <c r="CH8" i="2"/>
  <c r="CG8" i="2"/>
  <c r="CI7" i="2"/>
  <c r="CH7" i="2"/>
  <c r="CG7" i="2"/>
  <c r="CI6" i="2"/>
  <c r="CH6" i="2"/>
  <c r="CG6" i="2"/>
  <c r="CI5" i="2"/>
  <c r="CH5" i="2"/>
  <c r="CG5" i="2"/>
  <c r="CA65" i="2"/>
  <c r="BZ65" i="2"/>
  <c r="BY65" i="2"/>
  <c r="CA64" i="2"/>
  <c r="BZ64" i="2"/>
  <c r="BY64" i="2"/>
  <c r="CA63" i="2"/>
  <c r="BZ63" i="2"/>
  <c r="BY63" i="2"/>
  <c r="CA62" i="2"/>
  <c r="BZ62" i="2"/>
  <c r="BY62" i="2"/>
  <c r="CA61" i="2"/>
  <c r="BZ61" i="2"/>
  <c r="BY61" i="2"/>
  <c r="CA60" i="2"/>
  <c r="BZ60" i="2"/>
  <c r="BY60" i="2"/>
  <c r="CA59" i="2"/>
  <c r="BZ59" i="2"/>
  <c r="BY59" i="2"/>
  <c r="CA58" i="2"/>
  <c r="BZ58" i="2"/>
  <c r="BY58" i="2"/>
  <c r="CA57" i="2"/>
  <c r="BZ57" i="2"/>
  <c r="BY57" i="2"/>
  <c r="CA56" i="2"/>
  <c r="BZ56" i="2"/>
  <c r="BY56" i="2"/>
  <c r="CA55" i="2"/>
  <c r="BZ55" i="2"/>
  <c r="BY55" i="2"/>
  <c r="CA54" i="2"/>
  <c r="BZ54" i="2"/>
  <c r="BY54" i="2"/>
  <c r="CA53" i="2"/>
  <c r="BZ53" i="2"/>
  <c r="BY53" i="2"/>
  <c r="CA52" i="2"/>
  <c r="BZ52" i="2"/>
  <c r="BY52" i="2"/>
  <c r="CA51" i="2"/>
  <c r="BZ51" i="2"/>
  <c r="BY51" i="2"/>
  <c r="CA50" i="2"/>
  <c r="BZ50" i="2"/>
  <c r="BY50" i="2"/>
  <c r="CA49" i="2"/>
  <c r="BZ49" i="2"/>
  <c r="BY49" i="2"/>
  <c r="CA48" i="2"/>
  <c r="BZ48" i="2"/>
  <c r="BY48" i="2"/>
  <c r="CA47" i="2"/>
  <c r="BZ47" i="2"/>
  <c r="BY47" i="2"/>
  <c r="CA46" i="2"/>
  <c r="BZ46" i="2"/>
  <c r="BY46" i="2"/>
  <c r="CA45" i="2"/>
  <c r="BZ45" i="2"/>
  <c r="BY45" i="2"/>
  <c r="CA44" i="2"/>
  <c r="BZ44" i="2"/>
  <c r="BY44" i="2"/>
  <c r="CA43" i="2"/>
  <c r="BZ43" i="2"/>
  <c r="BY43" i="2"/>
  <c r="CA42" i="2"/>
  <c r="BZ42" i="2"/>
  <c r="BY42" i="2"/>
  <c r="CA41" i="2"/>
  <c r="BZ41" i="2"/>
  <c r="BY41" i="2"/>
  <c r="CA40" i="2"/>
  <c r="BZ40" i="2"/>
  <c r="BY40" i="2"/>
  <c r="CA39" i="2"/>
  <c r="BZ39" i="2"/>
  <c r="BY39" i="2"/>
  <c r="CA38" i="2"/>
  <c r="BZ38" i="2"/>
  <c r="BY38" i="2"/>
  <c r="CA37" i="2"/>
  <c r="BZ37" i="2"/>
  <c r="BY37" i="2"/>
  <c r="CA36" i="2"/>
  <c r="BZ36" i="2"/>
  <c r="BY36" i="2"/>
  <c r="CA35" i="2"/>
  <c r="BZ35" i="2"/>
  <c r="BY35" i="2"/>
  <c r="CA34" i="2"/>
  <c r="BZ34" i="2"/>
  <c r="BY34" i="2"/>
  <c r="CA33" i="2"/>
  <c r="BZ33" i="2"/>
  <c r="BY33" i="2"/>
  <c r="CA32" i="2"/>
  <c r="BZ32" i="2"/>
  <c r="BY32" i="2"/>
  <c r="CA31" i="2"/>
  <c r="BZ31" i="2"/>
  <c r="BY31" i="2"/>
  <c r="CA30" i="2"/>
  <c r="BZ30" i="2"/>
  <c r="BY30" i="2"/>
  <c r="CA29" i="2"/>
  <c r="BZ29" i="2"/>
  <c r="BY29" i="2"/>
  <c r="CA28" i="2"/>
  <c r="BZ28" i="2"/>
  <c r="BY28" i="2"/>
  <c r="CA27" i="2"/>
  <c r="BZ27" i="2"/>
  <c r="BY27" i="2"/>
  <c r="CA26" i="2"/>
  <c r="BZ26" i="2"/>
  <c r="BY26" i="2"/>
  <c r="CA25" i="2"/>
  <c r="BZ25" i="2"/>
  <c r="BY25" i="2"/>
  <c r="CA24" i="2"/>
  <c r="BZ24" i="2"/>
  <c r="BY24" i="2"/>
  <c r="CA23" i="2"/>
  <c r="BZ23" i="2"/>
  <c r="BY23" i="2"/>
  <c r="CA22" i="2"/>
  <c r="BZ22" i="2"/>
  <c r="BY22" i="2"/>
  <c r="CA21" i="2"/>
  <c r="BZ21" i="2"/>
  <c r="BY21" i="2"/>
  <c r="CA20" i="2"/>
  <c r="BZ20" i="2"/>
  <c r="BY20" i="2"/>
  <c r="CA19" i="2"/>
  <c r="BZ19" i="2"/>
  <c r="BY19" i="2"/>
  <c r="CA18" i="2"/>
  <c r="BZ18" i="2"/>
  <c r="BY18" i="2"/>
  <c r="CA17" i="2"/>
  <c r="BZ17" i="2"/>
  <c r="BY17" i="2"/>
  <c r="CA16" i="2"/>
  <c r="BZ16" i="2"/>
  <c r="BY16" i="2"/>
  <c r="CA15" i="2"/>
  <c r="BZ15" i="2"/>
  <c r="BY15" i="2"/>
  <c r="CA14" i="2"/>
  <c r="BZ14" i="2"/>
  <c r="BY14" i="2"/>
  <c r="CA13" i="2"/>
  <c r="BZ13" i="2"/>
  <c r="BY13" i="2"/>
  <c r="CA12" i="2"/>
  <c r="BZ12" i="2"/>
  <c r="BY12" i="2"/>
  <c r="CA11" i="2"/>
  <c r="BZ11" i="2"/>
  <c r="BY11" i="2"/>
  <c r="CA10" i="2"/>
  <c r="BZ10" i="2"/>
  <c r="BY10" i="2"/>
  <c r="CA9" i="2"/>
  <c r="BZ9" i="2"/>
  <c r="BY9" i="2"/>
  <c r="CA8" i="2"/>
  <c r="BZ8" i="2"/>
  <c r="BY8" i="2"/>
  <c r="CA7" i="2"/>
  <c r="BZ7" i="2"/>
  <c r="BY7" i="2"/>
  <c r="CA6" i="2"/>
  <c r="BZ6" i="2"/>
  <c r="BY6" i="2"/>
  <c r="CA5" i="2"/>
  <c r="BZ5" i="2"/>
  <c r="BY5" i="2"/>
  <c r="BS65" i="2"/>
  <c r="BR65" i="2"/>
  <c r="BQ65" i="2"/>
  <c r="BS64" i="2"/>
  <c r="BR64" i="2"/>
  <c r="BQ64" i="2"/>
  <c r="BS63" i="2"/>
  <c r="BR63" i="2"/>
  <c r="BQ63" i="2"/>
  <c r="BS62" i="2"/>
  <c r="BR62" i="2"/>
  <c r="BQ62" i="2"/>
  <c r="BS61" i="2"/>
  <c r="BR61" i="2"/>
  <c r="BQ61" i="2"/>
  <c r="BS60" i="2"/>
  <c r="BR60" i="2"/>
  <c r="BQ60" i="2"/>
  <c r="BS59" i="2"/>
  <c r="BR59" i="2"/>
  <c r="BQ59" i="2"/>
  <c r="BS58" i="2"/>
  <c r="BR58" i="2"/>
  <c r="BQ58" i="2"/>
  <c r="BS57" i="2"/>
  <c r="BR57" i="2"/>
  <c r="BQ57" i="2"/>
  <c r="BS56" i="2"/>
  <c r="BR56" i="2"/>
  <c r="BQ56" i="2"/>
  <c r="BS55" i="2"/>
  <c r="BR55" i="2"/>
  <c r="BQ55" i="2"/>
  <c r="BS54" i="2"/>
  <c r="BR54" i="2"/>
  <c r="BQ54" i="2"/>
  <c r="BS53" i="2"/>
  <c r="BR53" i="2"/>
  <c r="BQ53" i="2"/>
  <c r="BS52" i="2"/>
  <c r="BR52" i="2"/>
  <c r="BQ52" i="2"/>
  <c r="BS51" i="2"/>
  <c r="BR51" i="2"/>
  <c r="BQ51" i="2"/>
  <c r="BS50" i="2"/>
  <c r="BR50" i="2"/>
  <c r="BQ50" i="2"/>
  <c r="BS49" i="2"/>
  <c r="BR49" i="2"/>
  <c r="BQ49" i="2"/>
  <c r="BS48" i="2"/>
  <c r="BR48" i="2"/>
  <c r="BQ48" i="2"/>
  <c r="BS47" i="2"/>
  <c r="BR47" i="2"/>
  <c r="BQ47" i="2"/>
  <c r="BS46" i="2"/>
  <c r="BR46" i="2"/>
  <c r="BQ46" i="2"/>
  <c r="BS45" i="2"/>
  <c r="BR45" i="2"/>
  <c r="BQ45" i="2"/>
  <c r="BS44" i="2"/>
  <c r="BR44" i="2"/>
  <c r="BQ44" i="2"/>
  <c r="BS43" i="2"/>
  <c r="BR43" i="2"/>
  <c r="BQ43" i="2"/>
  <c r="BS42" i="2"/>
  <c r="BR42" i="2"/>
  <c r="BQ42" i="2"/>
  <c r="BS41" i="2"/>
  <c r="BR41" i="2"/>
  <c r="BQ41" i="2"/>
  <c r="BS40" i="2"/>
  <c r="BR40" i="2"/>
  <c r="BQ40" i="2"/>
  <c r="BS39" i="2"/>
  <c r="BR39" i="2"/>
  <c r="BQ39" i="2"/>
  <c r="BS38" i="2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9" i="2"/>
  <c r="BR29" i="2"/>
  <c r="BQ29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9" i="2"/>
  <c r="BR9" i="2"/>
  <c r="BQ9" i="2"/>
  <c r="BS8" i="2"/>
  <c r="BR8" i="2"/>
  <c r="BQ8" i="2"/>
  <c r="BS7" i="2"/>
  <c r="BR7" i="2"/>
  <c r="BQ7" i="2"/>
  <c r="BS6" i="2"/>
  <c r="BR6" i="2"/>
  <c r="BQ6" i="2"/>
  <c r="BS5" i="2"/>
  <c r="BR5" i="2"/>
  <c r="BQ5" i="2"/>
  <c r="BI7" i="2"/>
  <c r="BJ7" i="2"/>
  <c r="BK7" i="2"/>
  <c r="BI8" i="2"/>
  <c r="BJ8" i="2"/>
  <c r="BK8" i="2"/>
  <c r="BI9" i="2"/>
  <c r="BJ9" i="2"/>
  <c r="BK9" i="2"/>
  <c r="BI10" i="2"/>
  <c r="BJ10" i="2"/>
  <c r="BK10" i="2"/>
  <c r="BI11" i="2"/>
  <c r="BJ11" i="2"/>
  <c r="BK11" i="2"/>
  <c r="BI12" i="2"/>
  <c r="BJ12" i="2"/>
  <c r="BK12" i="2"/>
  <c r="BI13" i="2"/>
  <c r="BJ13" i="2"/>
  <c r="BK13" i="2"/>
  <c r="BI14" i="2"/>
  <c r="BJ14" i="2"/>
  <c r="BK14" i="2"/>
  <c r="BI15" i="2"/>
  <c r="BJ15" i="2"/>
  <c r="BK15" i="2"/>
  <c r="BI16" i="2"/>
  <c r="BJ16" i="2"/>
  <c r="BK16" i="2"/>
  <c r="BI17" i="2"/>
  <c r="BJ17" i="2"/>
  <c r="BK17" i="2"/>
  <c r="BI18" i="2"/>
  <c r="BJ18" i="2"/>
  <c r="BK18" i="2"/>
  <c r="BI19" i="2"/>
  <c r="BJ19" i="2"/>
  <c r="BK19" i="2"/>
  <c r="BI20" i="2"/>
  <c r="BJ20" i="2"/>
  <c r="BK20" i="2"/>
  <c r="BI21" i="2"/>
  <c r="BJ21" i="2"/>
  <c r="BK21" i="2"/>
  <c r="BI22" i="2"/>
  <c r="BJ22" i="2"/>
  <c r="BK22" i="2"/>
  <c r="BI23" i="2"/>
  <c r="BJ23" i="2"/>
  <c r="BK23" i="2"/>
  <c r="BI24" i="2"/>
  <c r="BJ24" i="2"/>
  <c r="BK24" i="2"/>
  <c r="BI25" i="2"/>
  <c r="BJ25" i="2"/>
  <c r="BK25" i="2"/>
  <c r="BI26" i="2"/>
  <c r="BJ26" i="2"/>
  <c r="BK26" i="2"/>
  <c r="BI27" i="2"/>
  <c r="BJ27" i="2"/>
  <c r="BK27" i="2"/>
  <c r="BI28" i="2"/>
  <c r="BJ28" i="2"/>
  <c r="BK28" i="2"/>
  <c r="BI29" i="2"/>
  <c r="BJ29" i="2"/>
  <c r="BK29" i="2"/>
  <c r="BI30" i="2"/>
  <c r="BJ30" i="2"/>
  <c r="BK30" i="2"/>
  <c r="BI31" i="2"/>
  <c r="BJ31" i="2"/>
  <c r="BK31" i="2"/>
  <c r="BI32" i="2"/>
  <c r="BJ32" i="2"/>
  <c r="BK32" i="2"/>
  <c r="BI33" i="2"/>
  <c r="BJ33" i="2"/>
  <c r="BK33" i="2"/>
  <c r="BI34" i="2"/>
  <c r="BJ34" i="2"/>
  <c r="BK34" i="2"/>
  <c r="BI35" i="2"/>
  <c r="BJ35" i="2"/>
  <c r="BK35" i="2"/>
  <c r="BI36" i="2"/>
  <c r="BJ36" i="2"/>
  <c r="BK36" i="2"/>
  <c r="BI37" i="2"/>
  <c r="BJ37" i="2"/>
  <c r="BK37" i="2"/>
  <c r="BI38" i="2"/>
  <c r="BJ38" i="2"/>
  <c r="BK38" i="2"/>
  <c r="BI39" i="2"/>
  <c r="BJ39" i="2"/>
  <c r="BK39" i="2"/>
  <c r="BI40" i="2"/>
  <c r="BJ40" i="2"/>
  <c r="BK40" i="2"/>
  <c r="BI41" i="2"/>
  <c r="BJ41" i="2"/>
  <c r="BK41" i="2"/>
  <c r="BI42" i="2"/>
  <c r="BJ42" i="2"/>
  <c r="BK42" i="2"/>
  <c r="BI43" i="2"/>
  <c r="BJ43" i="2"/>
  <c r="BK43" i="2"/>
  <c r="BI44" i="2"/>
  <c r="BJ44" i="2"/>
  <c r="BK44" i="2"/>
  <c r="BI45" i="2"/>
  <c r="BJ45" i="2"/>
  <c r="BK45" i="2"/>
  <c r="BI46" i="2"/>
  <c r="BJ46" i="2"/>
  <c r="BK46" i="2"/>
  <c r="BI47" i="2"/>
  <c r="BJ47" i="2"/>
  <c r="BK47" i="2"/>
  <c r="BI48" i="2"/>
  <c r="BJ48" i="2"/>
  <c r="BK48" i="2"/>
  <c r="BI49" i="2"/>
  <c r="BJ49" i="2"/>
  <c r="BK49" i="2"/>
  <c r="BI50" i="2"/>
  <c r="BJ50" i="2"/>
  <c r="BK50" i="2"/>
  <c r="BI51" i="2"/>
  <c r="BJ51" i="2"/>
  <c r="BK51" i="2"/>
  <c r="BI52" i="2"/>
  <c r="BJ52" i="2"/>
  <c r="BK52" i="2"/>
  <c r="BI53" i="2"/>
  <c r="BJ53" i="2"/>
  <c r="BK53" i="2"/>
  <c r="BI54" i="2"/>
  <c r="BJ54" i="2"/>
  <c r="BK54" i="2"/>
  <c r="BI55" i="2"/>
  <c r="BJ55" i="2"/>
  <c r="BK55" i="2"/>
  <c r="BI56" i="2"/>
  <c r="BJ56" i="2"/>
  <c r="BK56" i="2"/>
  <c r="BI57" i="2"/>
  <c r="BJ57" i="2"/>
  <c r="BK57" i="2"/>
  <c r="BI58" i="2"/>
  <c r="BJ58" i="2"/>
  <c r="BK58" i="2"/>
  <c r="BI59" i="2"/>
  <c r="BJ59" i="2"/>
  <c r="BK59" i="2"/>
  <c r="BI60" i="2"/>
  <c r="BJ60" i="2"/>
  <c r="BK60" i="2"/>
  <c r="BI61" i="2"/>
  <c r="BJ61" i="2"/>
  <c r="BK61" i="2"/>
  <c r="BI62" i="2"/>
  <c r="BJ62" i="2"/>
  <c r="BK62" i="2"/>
  <c r="BI63" i="2"/>
  <c r="BJ63" i="2"/>
  <c r="BK63" i="2"/>
  <c r="BI64" i="2"/>
  <c r="BJ64" i="2"/>
  <c r="BK64" i="2"/>
  <c r="BI65" i="2"/>
  <c r="BJ65" i="2"/>
  <c r="BK65" i="2"/>
  <c r="BK6" i="2"/>
  <c r="BJ6" i="2"/>
  <c r="BI6" i="2"/>
  <c r="BK5" i="2"/>
  <c r="BJ5" i="2"/>
  <c r="BI5" i="2"/>
  <c r="BC65" i="2"/>
  <c r="BB65" i="2"/>
  <c r="BA65" i="2"/>
  <c r="BC64" i="2"/>
  <c r="BB64" i="2"/>
  <c r="BA64" i="2"/>
  <c r="BC63" i="2"/>
  <c r="BB63" i="2"/>
  <c r="BA63" i="2"/>
  <c r="BC62" i="2"/>
  <c r="BB62" i="2"/>
  <c r="BA62" i="2"/>
  <c r="BC61" i="2"/>
  <c r="BB61" i="2"/>
  <c r="BA61" i="2"/>
  <c r="BC60" i="2"/>
  <c r="BB60" i="2"/>
  <c r="BA60" i="2"/>
  <c r="BC59" i="2"/>
  <c r="BB59" i="2"/>
  <c r="BA59" i="2"/>
  <c r="BC58" i="2"/>
  <c r="BB58" i="2"/>
  <c r="BA58" i="2"/>
  <c r="BC57" i="2"/>
  <c r="BB57" i="2"/>
  <c r="BA57" i="2"/>
  <c r="BC56" i="2"/>
  <c r="BB56" i="2"/>
  <c r="BA56" i="2"/>
  <c r="BC55" i="2"/>
  <c r="BB55" i="2"/>
  <c r="BA55" i="2"/>
  <c r="BC54" i="2"/>
  <c r="BB54" i="2"/>
  <c r="BA54" i="2"/>
  <c r="BC53" i="2"/>
  <c r="BB53" i="2"/>
  <c r="BA53" i="2"/>
  <c r="BC52" i="2"/>
  <c r="BB52" i="2"/>
  <c r="BA52" i="2"/>
  <c r="BC51" i="2"/>
  <c r="BB51" i="2"/>
  <c r="BA51" i="2"/>
  <c r="BC50" i="2"/>
  <c r="BB50" i="2"/>
  <c r="BA50" i="2"/>
  <c r="BC49" i="2"/>
  <c r="BB49" i="2"/>
  <c r="BA49" i="2"/>
  <c r="BC48" i="2"/>
  <c r="BB48" i="2"/>
  <c r="BA48" i="2"/>
  <c r="BC47" i="2"/>
  <c r="BB47" i="2"/>
  <c r="BA47" i="2"/>
  <c r="BC46" i="2"/>
  <c r="BB46" i="2"/>
  <c r="BA46" i="2"/>
  <c r="BC45" i="2"/>
  <c r="BB45" i="2"/>
  <c r="BA45" i="2"/>
  <c r="BC44" i="2"/>
  <c r="BB44" i="2"/>
  <c r="BA44" i="2"/>
  <c r="BC43" i="2"/>
  <c r="BB43" i="2"/>
  <c r="BA43" i="2"/>
  <c r="BC42" i="2"/>
  <c r="BB42" i="2"/>
  <c r="BA42" i="2"/>
  <c r="BC41" i="2"/>
  <c r="BB41" i="2"/>
  <c r="BA41" i="2"/>
  <c r="BC40" i="2"/>
  <c r="BB40" i="2"/>
  <c r="BA40" i="2"/>
  <c r="BC39" i="2"/>
  <c r="BB39" i="2"/>
  <c r="BA39" i="2"/>
  <c r="BC38" i="2"/>
  <c r="BB38" i="2"/>
  <c r="BA38" i="2"/>
  <c r="BC37" i="2"/>
  <c r="BB37" i="2"/>
  <c r="BA37" i="2"/>
  <c r="BC36" i="2"/>
  <c r="BB36" i="2"/>
  <c r="BA36" i="2"/>
  <c r="BC35" i="2"/>
  <c r="BB35" i="2"/>
  <c r="BA35" i="2"/>
  <c r="BC34" i="2"/>
  <c r="BB34" i="2"/>
  <c r="BA34" i="2"/>
  <c r="BC33" i="2"/>
  <c r="BB33" i="2"/>
  <c r="BA33" i="2"/>
  <c r="BC32" i="2"/>
  <c r="BB32" i="2"/>
  <c r="BA32" i="2"/>
  <c r="BC31" i="2"/>
  <c r="BB31" i="2"/>
  <c r="BA31" i="2"/>
  <c r="BC30" i="2"/>
  <c r="BB30" i="2"/>
  <c r="BA30" i="2"/>
  <c r="BC29" i="2"/>
  <c r="BB29" i="2"/>
  <c r="BA29" i="2"/>
  <c r="BC28" i="2"/>
  <c r="BB28" i="2"/>
  <c r="BA28" i="2"/>
  <c r="BC27" i="2"/>
  <c r="BB27" i="2"/>
  <c r="BA27" i="2"/>
  <c r="BC26" i="2"/>
  <c r="BB26" i="2"/>
  <c r="BA26" i="2"/>
  <c r="BC25" i="2"/>
  <c r="BB25" i="2"/>
  <c r="BA25" i="2"/>
  <c r="BC24" i="2"/>
  <c r="BB24" i="2"/>
  <c r="BA24" i="2"/>
  <c r="BC23" i="2"/>
  <c r="BB23" i="2"/>
  <c r="BA23" i="2"/>
  <c r="BC22" i="2"/>
  <c r="BB22" i="2"/>
  <c r="BA22" i="2"/>
  <c r="BC21" i="2"/>
  <c r="BB21" i="2"/>
  <c r="BA21" i="2"/>
  <c r="BC20" i="2"/>
  <c r="BB20" i="2"/>
  <c r="BA20" i="2"/>
  <c r="BC19" i="2"/>
  <c r="BB19" i="2"/>
  <c r="BA19" i="2"/>
  <c r="BC18" i="2"/>
  <c r="BB18" i="2"/>
  <c r="BA18" i="2"/>
  <c r="BC17" i="2"/>
  <c r="BB17" i="2"/>
  <c r="BA17" i="2"/>
  <c r="BC16" i="2"/>
  <c r="BB16" i="2"/>
  <c r="BA16" i="2"/>
  <c r="BC15" i="2"/>
  <c r="BB15" i="2"/>
  <c r="BA15" i="2"/>
  <c r="BC14" i="2"/>
  <c r="BB14" i="2"/>
  <c r="BA14" i="2"/>
  <c r="BC13" i="2"/>
  <c r="BB13" i="2"/>
  <c r="BA13" i="2"/>
  <c r="BC12" i="2"/>
  <c r="BB12" i="2"/>
  <c r="BA12" i="2"/>
  <c r="BC11" i="2"/>
  <c r="BB11" i="2"/>
  <c r="BA11" i="2"/>
  <c r="BC10" i="2"/>
  <c r="BB10" i="2"/>
  <c r="BA10" i="2"/>
  <c r="BC9" i="2"/>
  <c r="BB9" i="2"/>
  <c r="BA9" i="2"/>
  <c r="BC8" i="2"/>
  <c r="BB8" i="2"/>
  <c r="BA8" i="2"/>
  <c r="BC7" i="2"/>
  <c r="BB7" i="2"/>
  <c r="BA7" i="2"/>
  <c r="BC6" i="2"/>
  <c r="BB6" i="2"/>
  <c r="BA6" i="2"/>
  <c r="BC5" i="2"/>
  <c r="BB5" i="2"/>
  <c r="BA5" i="2"/>
  <c r="AU65" i="2"/>
  <c r="AT65" i="2"/>
  <c r="AS65" i="2"/>
  <c r="AU64" i="2"/>
  <c r="AT64" i="2"/>
  <c r="AS64" i="2"/>
  <c r="AU63" i="2"/>
  <c r="AT63" i="2"/>
  <c r="AS63" i="2"/>
  <c r="AU62" i="2"/>
  <c r="AT62" i="2"/>
  <c r="AS62" i="2"/>
  <c r="AU61" i="2"/>
  <c r="AT61" i="2"/>
  <c r="AS61" i="2"/>
  <c r="AU60" i="2"/>
  <c r="AT60" i="2"/>
  <c r="AS60" i="2"/>
  <c r="AU59" i="2"/>
  <c r="AT59" i="2"/>
  <c r="AS59" i="2"/>
  <c r="AU58" i="2"/>
  <c r="AT58" i="2"/>
  <c r="AS58" i="2"/>
  <c r="AU57" i="2"/>
  <c r="AT57" i="2"/>
  <c r="AS57" i="2"/>
  <c r="AU56" i="2"/>
  <c r="AT56" i="2"/>
  <c r="AS56" i="2"/>
  <c r="AU55" i="2"/>
  <c r="AT55" i="2"/>
  <c r="AS55" i="2"/>
  <c r="AU54" i="2"/>
  <c r="AT54" i="2"/>
  <c r="AS54" i="2"/>
  <c r="AU53" i="2"/>
  <c r="AT53" i="2"/>
  <c r="AS53" i="2"/>
  <c r="AU52" i="2"/>
  <c r="AT52" i="2"/>
  <c r="AS52" i="2"/>
  <c r="AU51" i="2"/>
  <c r="AT51" i="2"/>
  <c r="AS51" i="2"/>
  <c r="AU50" i="2"/>
  <c r="AT50" i="2"/>
  <c r="AS50" i="2"/>
  <c r="AU49" i="2"/>
  <c r="AT49" i="2"/>
  <c r="AS49" i="2"/>
  <c r="AU48" i="2"/>
  <c r="AT48" i="2"/>
  <c r="AS48" i="2"/>
  <c r="AU47" i="2"/>
  <c r="AT47" i="2"/>
  <c r="AS47" i="2"/>
  <c r="AU46" i="2"/>
  <c r="AT46" i="2"/>
  <c r="AS46" i="2"/>
  <c r="AU45" i="2"/>
  <c r="AT45" i="2"/>
  <c r="AS45" i="2"/>
  <c r="AU44" i="2"/>
  <c r="AT44" i="2"/>
  <c r="AS44" i="2"/>
  <c r="AU43" i="2"/>
  <c r="AT43" i="2"/>
  <c r="AS43" i="2"/>
  <c r="AU42" i="2"/>
  <c r="AT42" i="2"/>
  <c r="AS42" i="2"/>
  <c r="AU41" i="2"/>
  <c r="AT41" i="2"/>
  <c r="AS41" i="2"/>
  <c r="AU40" i="2"/>
  <c r="AT40" i="2"/>
  <c r="AS40" i="2"/>
  <c r="AU39" i="2"/>
  <c r="AT39" i="2"/>
  <c r="AS39" i="2"/>
  <c r="AU38" i="2"/>
  <c r="AT38" i="2"/>
  <c r="AS38" i="2"/>
  <c r="AU37" i="2"/>
  <c r="AT37" i="2"/>
  <c r="AS37" i="2"/>
  <c r="AU36" i="2"/>
  <c r="AT36" i="2"/>
  <c r="AS36" i="2"/>
  <c r="AU35" i="2"/>
  <c r="AT35" i="2"/>
  <c r="AS35" i="2"/>
  <c r="AU34" i="2"/>
  <c r="AT34" i="2"/>
  <c r="AS34" i="2"/>
  <c r="AU33" i="2"/>
  <c r="AT33" i="2"/>
  <c r="AS33" i="2"/>
  <c r="AU32" i="2"/>
  <c r="AT32" i="2"/>
  <c r="AS32" i="2"/>
  <c r="AU31" i="2"/>
  <c r="AT31" i="2"/>
  <c r="AS31" i="2"/>
  <c r="AU30" i="2"/>
  <c r="AT30" i="2"/>
  <c r="AS30" i="2"/>
  <c r="AU29" i="2"/>
  <c r="AT29" i="2"/>
  <c r="AS29" i="2"/>
  <c r="AU28" i="2"/>
  <c r="AT28" i="2"/>
  <c r="AS28" i="2"/>
  <c r="AU27" i="2"/>
  <c r="AT27" i="2"/>
  <c r="AS27" i="2"/>
  <c r="AU26" i="2"/>
  <c r="AT26" i="2"/>
  <c r="AS26" i="2"/>
  <c r="AU25" i="2"/>
  <c r="AT25" i="2"/>
  <c r="AS25" i="2"/>
  <c r="AU24" i="2"/>
  <c r="AT24" i="2"/>
  <c r="AS24" i="2"/>
  <c r="AU23" i="2"/>
  <c r="AT23" i="2"/>
  <c r="AS23" i="2"/>
  <c r="AU22" i="2"/>
  <c r="AT22" i="2"/>
  <c r="AS22" i="2"/>
  <c r="AU21" i="2"/>
  <c r="AT21" i="2"/>
  <c r="AS21" i="2"/>
  <c r="AU20" i="2"/>
  <c r="AT20" i="2"/>
  <c r="AS20" i="2"/>
  <c r="AU19" i="2"/>
  <c r="AT19" i="2"/>
  <c r="AS19" i="2"/>
  <c r="AU18" i="2"/>
  <c r="AT18" i="2"/>
  <c r="AS18" i="2"/>
  <c r="AU17" i="2"/>
  <c r="AT17" i="2"/>
  <c r="AS17" i="2"/>
  <c r="AU16" i="2"/>
  <c r="AT16" i="2"/>
  <c r="AS16" i="2"/>
  <c r="AU15" i="2"/>
  <c r="AT15" i="2"/>
  <c r="AS15" i="2"/>
  <c r="AU14" i="2"/>
  <c r="AT14" i="2"/>
  <c r="AS14" i="2"/>
  <c r="AU13" i="2"/>
  <c r="AT13" i="2"/>
  <c r="AS13" i="2"/>
  <c r="AU12" i="2"/>
  <c r="AT12" i="2"/>
  <c r="AS12" i="2"/>
  <c r="AU11" i="2"/>
  <c r="AT11" i="2"/>
  <c r="AS11" i="2"/>
  <c r="AU10" i="2"/>
  <c r="AT10" i="2"/>
  <c r="AS10" i="2"/>
  <c r="AU9" i="2"/>
  <c r="AT9" i="2"/>
  <c r="AS9" i="2"/>
  <c r="AU8" i="2"/>
  <c r="AT8" i="2"/>
  <c r="AS8" i="2"/>
  <c r="AU7" i="2"/>
  <c r="AT7" i="2"/>
  <c r="AS7" i="2"/>
  <c r="AU6" i="2"/>
  <c r="AT6" i="2"/>
  <c r="AS6" i="2"/>
  <c r="AU5" i="2"/>
  <c r="AT5" i="2"/>
  <c r="AS5" i="2"/>
  <c r="AM65" i="2"/>
  <c r="AL65" i="2"/>
  <c r="AK65" i="2"/>
  <c r="AM64" i="2"/>
  <c r="AL64" i="2"/>
  <c r="AK64" i="2"/>
  <c r="AM63" i="2"/>
  <c r="AL63" i="2"/>
  <c r="AK63" i="2"/>
  <c r="AM62" i="2"/>
  <c r="AL62" i="2"/>
  <c r="AK62" i="2"/>
  <c r="AM61" i="2"/>
  <c r="AL61" i="2"/>
  <c r="AK61" i="2"/>
  <c r="AM60" i="2"/>
  <c r="AL60" i="2"/>
  <c r="AK60" i="2"/>
  <c r="AM59" i="2"/>
  <c r="AL59" i="2"/>
  <c r="AK59" i="2"/>
  <c r="AM58" i="2"/>
  <c r="AL58" i="2"/>
  <c r="AK58" i="2"/>
  <c r="AM57" i="2"/>
  <c r="AL57" i="2"/>
  <c r="AK57" i="2"/>
  <c r="AM56" i="2"/>
  <c r="AL56" i="2"/>
  <c r="AK56" i="2"/>
  <c r="AM55" i="2"/>
  <c r="AL55" i="2"/>
  <c r="AK55" i="2"/>
  <c r="AM54" i="2"/>
  <c r="AL54" i="2"/>
  <c r="AK54" i="2"/>
  <c r="AM53" i="2"/>
  <c r="AL53" i="2"/>
  <c r="AK53" i="2"/>
  <c r="AM52" i="2"/>
  <c r="AL52" i="2"/>
  <c r="AK52" i="2"/>
  <c r="AM51" i="2"/>
  <c r="AL51" i="2"/>
  <c r="AK51" i="2"/>
  <c r="AM50" i="2"/>
  <c r="AL50" i="2"/>
  <c r="AK50" i="2"/>
  <c r="AM49" i="2"/>
  <c r="AL49" i="2"/>
  <c r="AK49" i="2"/>
  <c r="AM48" i="2"/>
  <c r="AL48" i="2"/>
  <c r="AK48" i="2"/>
  <c r="AM47" i="2"/>
  <c r="AL47" i="2"/>
  <c r="AK47" i="2"/>
  <c r="AM46" i="2"/>
  <c r="AL46" i="2"/>
  <c r="AK46" i="2"/>
  <c r="AM45" i="2"/>
  <c r="AL45" i="2"/>
  <c r="AK45" i="2"/>
  <c r="AM44" i="2"/>
  <c r="AL44" i="2"/>
  <c r="AK44" i="2"/>
  <c r="AM43" i="2"/>
  <c r="AL43" i="2"/>
  <c r="AK43" i="2"/>
  <c r="AM42" i="2"/>
  <c r="AL42" i="2"/>
  <c r="AK42" i="2"/>
  <c r="AM41" i="2"/>
  <c r="AL41" i="2"/>
  <c r="AK41" i="2"/>
  <c r="AM40" i="2"/>
  <c r="AL40" i="2"/>
  <c r="AK40" i="2"/>
  <c r="AM39" i="2"/>
  <c r="AL39" i="2"/>
  <c r="AK39" i="2"/>
  <c r="AM38" i="2"/>
  <c r="AL38" i="2"/>
  <c r="AK38" i="2"/>
  <c r="AM37" i="2"/>
  <c r="AL37" i="2"/>
  <c r="AK37" i="2"/>
  <c r="AM36" i="2"/>
  <c r="AL36" i="2"/>
  <c r="AK36" i="2"/>
  <c r="AM35" i="2"/>
  <c r="AL35" i="2"/>
  <c r="AK35" i="2"/>
  <c r="AM34" i="2"/>
  <c r="AL34" i="2"/>
  <c r="AK34" i="2"/>
  <c r="AM33" i="2"/>
  <c r="AL33" i="2"/>
  <c r="AK33" i="2"/>
  <c r="AM32" i="2"/>
  <c r="AL32" i="2"/>
  <c r="AK32" i="2"/>
  <c r="AM31" i="2"/>
  <c r="AL31" i="2"/>
  <c r="AK31" i="2"/>
  <c r="AM30" i="2"/>
  <c r="AL30" i="2"/>
  <c r="AK30" i="2"/>
  <c r="AM29" i="2"/>
  <c r="AL29" i="2"/>
  <c r="AK29" i="2"/>
  <c r="AM28" i="2"/>
  <c r="AL28" i="2"/>
  <c r="AK28" i="2"/>
  <c r="AM27" i="2"/>
  <c r="AL27" i="2"/>
  <c r="AK27" i="2"/>
  <c r="AM26" i="2"/>
  <c r="AL26" i="2"/>
  <c r="AK26" i="2"/>
  <c r="AM25" i="2"/>
  <c r="AL25" i="2"/>
  <c r="AK25" i="2"/>
  <c r="AM24" i="2"/>
  <c r="AL24" i="2"/>
  <c r="AK24" i="2"/>
  <c r="AM23" i="2"/>
  <c r="AL23" i="2"/>
  <c r="AK23" i="2"/>
  <c r="AM22" i="2"/>
  <c r="AL22" i="2"/>
  <c r="AK22" i="2"/>
  <c r="AM21" i="2"/>
  <c r="AL21" i="2"/>
  <c r="AK21" i="2"/>
  <c r="AM20" i="2"/>
  <c r="AL20" i="2"/>
  <c r="AK20" i="2"/>
  <c r="AM19" i="2"/>
  <c r="AL19" i="2"/>
  <c r="AK19" i="2"/>
  <c r="AM18" i="2"/>
  <c r="AL18" i="2"/>
  <c r="AK18" i="2"/>
  <c r="AM17" i="2"/>
  <c r="AL17" i="2"/>
  <c r="AK17" i="2"/>
  <c r="AM16" i="2"/>
  <c r="AL16" i="2"/>
  <c r="AK16" i="2"/>
  <c r="AM15" i="2"/>
  <c r="AL15" i="2"/>
  <c r="AK15" i="2"/>
  <c r="AM14" i="2"/>
  <c r="AL14" i="2"/>
  <c r="AK14" i="2"/>
  <c r="AM13" i="2"/>
  <c r="AL13" i="2"/>
  <c r="AK13" i="2"/>
  <c r="AM12" i="2"/>
  <c r="AL12" i="2"/>
  <c r="AK12" i="2"/>
  <c r="AM11" i="2"/>
  <c r="AL11" i="2"/>
  <c r="AK11" i="2"/>
  <c r="AM10" i="2"/>
  <c r="AL10" i="2"/>
  <c r="AK10" i="2"/>
  <c r="AM9" i="2"/>
  <c r="AL9" i="2"/>
  <c r="AK9" i="2"/>
  <c r="AM8" i="2"/>
  <c r="AL8" i="2"/>
  <c r="AK8" i="2"/>
  <c r="AM7" i="2"/>
  <c r="AL7" i="2"/>
  <c r="AK7" i="2"/>
  <c r="AM6" i="2"/>
  <c r="AL6" i="2"/>
  <c r="AK6" i="2"/>
  <c r="AM5" i="2"/>
  <c r="AL5" i="2"/>
  <c r="AK5" i="2"/>
  <c r="AE65" i="2"/>
  <c r="AD65" i="2"/>
  <c r="AC65" i="2"/>
  <c r="AE64" i="2"/>
  <c r="AD64" i="2"/>
  <c r="AC64" i="2"/>
  <c r="AE63" i="2"/>
  <c r="AD63" i="2"/>
  <c r="AC63" i="2"/>
  <c r="AE62" i="2"/>
  <c r="AD62" i="2"/>
  <c r="AC62" i="2"/>
  <c r="AE61" i="2"/>
  <c r="AD61" i="2"/>
  <c r="AC61" i="2"/>
  <c r="AE60" i="2"/>
  <c r="AD60" i="2"/>
  <c r="AC60" i="2"/>
  <c r="AE59" i="2"/>
  <c r="AD59" i="2"/>
  <c r="AC59" i="2"/>
  <c r="AE58" i="2"/>
  <c r="AD58" i="2"/>
  <c r="AC58" i="2"/>
  <c r="AE57" i="2"/>
  <c r="AD57" i="2"/>
  <c r="AC57" i="2"/>
  <c r="AE56" i="2"/>
  <c r="AD56" i="2"/>
  <c r="AC56" i="2"/>
  <c r="AE55" i="2"/>
  <c r="AD55" i="2"/>
  <c r="AC55" i="2"/>
  <c r="AE54" i="2"/>
  <c r="AD54" i="2"/>
  <c r="AC54" i="2"/>
  <c r="AE53" i="2"/>
  <c r="AD53" i="2"/>
  <c r="AC53" i="2"/>
  <c r="AE52" i="2"/>
  <c r="AD52" i="2"/>
  <c r="AC52" i="2"/>
  <c r="AE51" i="2"/>
  <c r="AD51" i="2"/>
  <c r="AC51" i="2"/>
  <c r="AE50" i="2"/>
  <c r="AD50" i="2"/>
  <c r="AC50" i="2"/>
  <c r="AE49" i="2"/>
  <c r="AD49" i="2"/>
  <c r="AC49" i="2"/>
  <c r="AE48" i="2"/>
  <c r="AD48" i="2"/>
  <c r="AC48" i="2"/>
  <c r="AE47" i="2"/>
  <c r="AD47" i="2"/>
  <c r="AC47" i="2"/>
  <c r="AE46" i="2"/>
  <c r="AD46" i="2"/>
  <c r="AC46" i="2"/>
  <c r="AE45" i="2"/>
  <c r="AD45" i="2"/>
  <c r="AC45" i="2"/>
  <c r="AE44" i="2"/>
  <c r="AD44" i="2"/>
  <c r="AC44" i="2"/>
  <c r="AE43" i="2"/>
  <c r="AD43" i="2"/>
  <c r="AC43" i="2"/>
  <c r="AE42" i="2"/>
  <c r="AD42" i="2"/>
  <c r="AC42" i="2"/>
  <c r="AE41" i="2"/>
  <c r="AD41" i="2"/>
  <c r="AC41" i="2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11" i="2"/>
  <c r="AD11" i="2"/>
  <c r="AC11" i="2"/>
  <c r="AE10" i="2"/>
  <c r="AD10" i="2"/>
  <c r="AC10" i="2"/>
  <c r="AE9" i="2"/>
  <c r="AD9" i="2"/>
  <c r="AC9" i="2"/>
  <c r="AE8" i="2"/>
  <c r="AD8" i="2"/>
  <c r="AC8" i="2"/>
  <c r="AE7" i="2"/>
  <c r="AD7" i="2"/>
  <c r="AC7" i="2"/>
  <c r="AE6" i="2"/>
  <c r="AD6" i="2"/>
  <c r="AC6" i="2"/>
  <c r="AE5" i="2"/>
  <c r="AD5" i="2"/>
  <c r="AC5" i="2"/>
  <c r="W65" i="2"/>
  <c r="V65" i="2"/>
  <c r="U65" i="2"/>
  <c r="W64" i="2"/>
  <c r="V64" i="2"/>
  <c r="U64" i="2"/>
  <c r="W63" i="2"/>
  <c r="V63" i="2"/>
  <c r="U63" i="2"/>
  <c r="W62" i="2"/>
  <c r="V62" i="2"/>
  <c r="U62" i="2"/>
  <c r="W61" i="2"/>
  <c r="V61" i="2"/>
  <c r="U61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U53" i="2"/>
  <c r="W52" i="2"/>
  <c r="V52" i="2"/>
  <c r="U52" i="2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W36" i="2"/>
  <c r="V36" i="2"/>
  <c r="U36" i="2"/>
  <c r="W35" i="2"/>
  <c r="V35" i="2"/>
  <c r="U35" i="2"/>
  <c r="W34" i="2"/>
  <c r="V34" i="2"/>
  <c r="U34" i="2"/>
  <c r="W33" i="2"/>
  <c r="V33" i="2"/>
  <c r="U33" i="2"/>
  <c r="W32" i="2"/>
  <c r="V32" i="2"/>
  <c r="U32" i="2"/>
  <c r="W31" i="2"/>
  <c r="V31" i="2"/>
  <c r="U31" i="2"/>
  <c r="W30" i="2"/>
  <c r="V30" i="2"/>
  <c r="U30" i="2"/>
  <c r="W29" i="2"/>
  <c r="V29" i="2"/>
  <c r="U29" i="2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O63" i="2"/>
  <c r="N63" i="2"/>
  <c r="M63" i="2"/>
  <c r="O62" i="2"/>
  <c r="N62" i="2"/>
  <c r="M62" i="2"/>
  <c r="O61" i="2"/>
  <c r="N61" i="2"/>
  <c r="M61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5" i="2"/>
  <c r="N5" i="2"/>
  <c r="M5" i="2"/>
  <c r="O6" i="2"/>
  <c r="N6" i="2"/>
  <c r="M6" i="2"/>
  <c r="M16" i="2"/>
  <c r="N16" i="2"/>
  <c r="O16" i="2"/>
  <c r="M7" i="2"/>
  <c r="N7" i="2"/>
  <c r="O7" i="2"/>
  <c r="M8" i="2"/>
  <c r="N8" i="2"/>
  <c r="O8" i="2"/>
  <c r="M9" i="2"/>
  <c r="N9" i="2"/>
  <c r="O9" i="2"/>
  <c r="M10" i="2"/>
  <c r="N10" i="2"/>
  <c r="O10" i="2"/>
  <c r="M11" i="2"/>
  <c r="N11" i="2"/>
  <c r="O11" i="2"/>
  <c r="M12" i="2"/>
  <c r="N12" i="2"/>
  <c r="O12" i="2"/>
  <c r="M13" i="2"/>
  <c r="N13" i="2"/>
  <c r="O13" i="2"/>
  <c r="M14" i="2"/>
  <c r="N14" i="2"/>
  <c r="O14" i="2"/>
  <c r="M15" i="2"/>
  <c r="N15" i="2"/>
  <c r="O15" i="2"/>
  <c r="M28" i="2"/>
  <c r="N28" i="2"/>
  <c r="O28" i="2"/>
  <c r="M40" i="2"/>
  <c r="N40" i="2"/>
  <c r="O40" i="2"/>
  <c r="M52" i="2"/>
  <c r="N52" i="2"/>
  <c r="O52" i="2"/>
  <c r="M64" i="2"/>
  <c r="N64" i="2"/>
  <c r="O64" i="2"/>
  <c r="M65" i="2"/>
  <c r="N65" i="2"/>
  <c r="O65" i="2"/>
</calcChain>
</file>

<file path=xl/sharedStrings.xml><?xml version="1.0" encoding="utf-8"?>
<sst xmlns="http://schemas.openxmlformats.org/spreadsheetml/2006/main" count="916" uniqueCount="51">
  <si>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</si>
  <si>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</si>
  <si>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</si>
  <si>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</si>
  <si>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</si>
  <si>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</si>
  <si>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</si>
  <si>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</si>
  <si>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</si>
  <si>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</si>
  <si>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</si>
  <si>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</si>
  <si>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</si>
  <si>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</si>
  <si>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</si>
  <si>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</si>
  <si>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</si>
  <si>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</si>
  <si>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</si>
  <si>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t>26Q1W1</t>
    <phoneticPr fontId="15" type="noConversion"/>
  </si>
  <si>
    <t>26Q1W2</t>
  </si>
  <si>
    <t>26Q1W3</t>
  </si>
  <si>
    <t>26Q1W4</t>
  </si>
  <si>
    <t>26Q1W5</t>
  </si>
  <si>
    <t>26Q1W6</t>
  </si>
  <si>
    <t>26Q1W7</t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</si>
  <si>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</si>
  <si>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10/12~10/18</t>
    <phoneticPr fontId="2" type="noConversion"/>
  </si>
  <si>
    <t>10/19~10/25</t>
    <phoneticPr fontId="2" type="noConversion"/>
  </si>
  <si>
    <r>
      <t>10/9</t>
    </r>
    <r>
      <rPr>
        <sz val="13"/>
        <color theme="1"/>
        <rFont val="PingFang TC"/>
        <family val="2"/>
        <charset val="136"/>
      </rPr>
      <t>～</t>
    </r>
    <r>
      <rPr>
        <sz val="13"/>
        <color theme="1"/>
        <rFont val="Helvetica Neue"/>
        <family val="2"/>
      </rPr>
      <t xml:space="preserve">1013 </t>
    </r>
    <r>
      <rPr>
        <sz val="13"/>
        <color theme="1"/>
        <rFont val="PingFang TC"/>
        <family val="2"/>
        <charset val="136"/>
      </rPr>
      <t>預購滿萬送千</t>
    </r>
  </si>
  <si>
    <r>
      <t>10/16</t>
    </r>
    <r>
      <rPr>
        <sz val="13"/>
        <color theme="1"/>
        <rFont val="PingFang TC"/>
        <family val="2"/>
        <charset val="136"/>
      </rPr>
      <t>～</t>
    </r>
    <r>
      <rPr>
        <sz val="13"/>
        <color theme="1"/>
        <rFont val="Helvetica Neue"/>
        <family val="2"/>
      </rPr>
      <t>10/22</t>
    </r>
    <r>
      <rPr>
        <sz val="13"/>
        <color theme="1"/>
        <rFont val="PingFang TC"/>
        <family val="2"/>
        <charset val="136"/>
      </rPr>
      <t>滿萬送千</t>
    </r>
  </si>
  <si>
    <r>
      <t xml:space="preserve">10/23~10/29 </t>
    </r>
    <r>
      <rPr>
        <sz val="13"/>
        <color theme="1"/>
        <rFont val="PingFang TC"/>
        <family val="2"/>
        <charset val="136"/>
      </rPr>
      <t>滿萬送五百</t>
    </r>
  </si>
  <si>
    <t>Traffic</t>
    <phoneticPr fontId="2" type="noConversion"/>
  </si>
  <si>
    <t>Trade in</t>
    <phoneticPr fontId="2" type="noConversion"/>
  </si>
  <si>
    <t>10/05~10/11</t>
    <phoneticPr fontId="2" type="noConversion"/>
  </si>
  <si>
    <t>10/26~11/01</t>
    <phoneticPr fontId="2" type="noConversion"/>
  </si>
  <si>
    <t>11/02~11/08</t>
    <phoneticPr fontId="2" type="noConversion"/>
  </si>
  <si>
    <t>11/09~11/15</t>
    <phoneticPr fontId="2" type="noConversion"/>
  </si>
  <si>
    <t>11/16~11/22</t>
    <phoneticPr fontId="2" type="noConversion"/>
  </si>
  <si>
    <t>26Q1W8</t>
    <phoneticPr fontId="2" type="noConversion"/>
  </si>
  <si>
    <t>26Q1W9</t>
    <phoneticPr fontId="2" type="noConversion"/>
  </si>
  <si>
    <t>11/23~11/29</t>
    <phoneticPr fontId="2" type="noConversion"/>
  </si>
  <si>
    <t>26Q1W10</t>
    <phoneticPr fontId="2" type="noConversion"/>
  </si>
  <si>
    <t>11-30~12/06</t>
    <phoneticPr fontId="2" type="noConversion"/>
  </si>
  <si>
    <t>09/28~10/04</t>
    <phoneticPr fontId="2" type="noConversion"/>
  </si>
  <si>
    <t>26Q1W11</t>
    <phoneticPr fontId="2" type="noConversion"/>
  </si>
  <si>
    <t>12/07~12/13</t>
    <phoneticPr fontId="2" type="noConversion"/>
  </si>
  <si>
    <t>26Q1W12</t>
    <phoneticPr fontId="2" type="noConversion"/>
  </si>
  <si>
    <t>12/14~12/20</t>
    <phoneticPr fontId="2" type="noConversion"/>
  </si>
  <si>
    <t>26Q1W13</t>
    <phoneticPr fontId="2" type="noConversion"/>
  </si>
  <si>
    <t>12/21~12/27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</si>
</sst>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m&quot;月&quot;d&quot;日&quot;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sz val="9"/>
      <name val="Wawati TC"/>
      <family val="3"/>
      <charset val="136"/>
    </font>
    <font>
      <b/>
      <sz val="10"/>
      <name val="Microsoft JhengHei"/>
      <family val="2"/>
      <charset val="136"/>
    </font>
    <font>
      <sz val="13"/>
      <color theme="1"/>
      <name val="Helvetica Neue"/>
      <family val="2"/>
    </font>
    <font>
      <sz val="13"/>
      <color theme="1"/>
      <name val="PingFang TC"/>
      <family val="2"/>
      <charset val="136"/>
    </font>
    <font>
      <b/>
      <sz val="12"/>
      <color theme="1"/>
      <name val="Arial Italic"/>
    </font>
    <font>
      <b/>
      <sz val="14"/>
      <color theme="1"/>
      <name val="Arial Italic"/>
    </font>
    <font>
      <b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9" fontId="3" fillId="2" borderId="0" xfId="1" applyFont="1" applyFill="1" applyAlignme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9" fontId="3" fillId="3" borderId="0" xfId="1" applyFont="1" applyFill="1" applyAlignment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177" fontId="12" fillId="0" borderId="0" xfId="0" applyNumberFormat="1" applyFont="1">
      <alignment vertical="center"/>
    </xf>
    <xf numFmtId="0" fontId="17" fillId="0" borderId="0" xfId="0" applyFont="1">
      <alignment vertical="center"/>
    </xf>
    <xf numFmtId="0" fontId="9" fillId="0" borderId="0" xfId="2" applyFont="1" applyAlignme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9" fontId="6" fillId="0" borderId="0" xfId="1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45F6-4B2F-7944-A1EC-E7E5896AE27B}">
  <sheetPr codeName="工作表1"/>
  <dimension ref="A1:CY65"/>
  <sheetViews>
    <sheetView tabSelected="1" topLeftCell="A19" zoomScale="81" workbookViewId="0">
      <pane xSplit="1" topLeftCell="CK1" activePane="topRight" state="frozen"/>
      <selection pane="topRight" activeCell="CU54" sqref="CU54"/>
    </sheetView>
  </sheetViews>
  <sheetFormatPr baseColWidth="10" defaultRowHeight="15"/>
  <cols>
    <col min="1" max="1" width="11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60" max="60" width="14.1640625" bestFit="1" customWidth="1"/>
    <col min="62" max="62" width="13" bestFit="1" customWidth="1"/>
    <col min="64" max="64" width="5" customWidth="1"/>
    <col min="68" max="68" width="14.1640625" bestFit="1" customWidth="1"/>
    <col min="72" max="72" width="5" customWidth="1"/>
    <col min="76" max="76" width="14.1640625" bestFit="1" customWidth="1"/>
    <col min="80" max="80" width="5" customWidth="1"/>
    <col min="84" max="84" width="14.1640625" bestFit="1" customWidth="1"/>
    <col min="88" max="88" width="5" customWidth="1"/>
    <col min="92" max="92" width="14.1640625" bestFit="1" customWidth="1"/>
    <col min="96" max="96" width="5" customWidth="1"/>
    <col min="100" max="100" width="14.1640625" bestFit="1" customWidth="1"/>
  </cols>
  <sheetData>
    <row r="1" spans="1:103" s="26" customFormat="1" ht="28" customHeight="1">
      <c r="A1" s="28" t="s">
        <v>19</v>
      </c>
      <c r="B1" s="28"/>
      <c r="D1" s="27"/>
      <c r="I1" s="28" t="s">
        <v>20</v>
      </c>
      <c r="J1" s="28"/>
      <c r="L1" s="27"/>
      <c r="Q1" s="28" t="s">
        <v>21</v>
      </c>
      <c r="R1" s="28"/>
      <c r="T1" s="27"/>
      <c r="Y1" s="28" t="s">
        <v>22</v>
      </c>
      <c r="Z1" s="28"/>
      <c r="AB1" s="27"/>
      <c r="AG1" s="28" t="s">
        <v>23</v>
      </c>
      <c r="AH1" s="28"/>
      <c r="AJ1" s="27"/>
      <c r="AO1" s="28" t="s">
        <v>24</v>
      </c>
      <c r="AP1" s="28"/>
      <c r="AR1" s="27"/>
      <c r="AW1" s="28" t="s">
        <v>25</v>
      </c>
      <c r="AX1" s="28"/>
      <c r="AZ1" s="27"/>
      <c r="BE1" s="28" t="s">
        <v>39</v>
      </c>
      <c r="BM1" s="28" t="s">
        <v>40</v>
      </c>
      <c r="BU1" s="28" t="s">
        <v>42</v>
      </c>
      <c r="CC1" s="28" t="s">
        <v>45</v>
      </c>
      <c r="CK1" s="28" t="s">
        <v>47</v>
      </c>
      <c r="CS1" s="28" t="s">
        <v>49</v>
      </c>
    </row>
    <row r="2" spans="1:103" s="22" customFormat="1" ht="18">
      <c r="A2" s="25" t="s">
        <v>44</v>
      </c>
      <c r="B2" s="24"/>
      <c r="D2" s="23"/>
      <c r="I2" s="33" t="s">
        <v>34</v>
      </c>
      <c r="K2" s="25"/>
      <c r="M2" s="25"/>
      <c r="O2" s="25"/>
      <c r="Q2" s="24" t="s">
        <v>27</v>
      </c>
      <c r="S2" s="25"/>
      <c r="U2" s="25"/>
      <c r="W2" s="25"/>
      <c r="Y2" s="22" t="s">
        <v>28</v>
      </c>
      <c r="Z2" s="24"/>
      <c r="AB2" s="23"/>
      <c r="AG2" s="22" t="s">
        <v>35</v>
      </c>
      <c r="AK2" s="24"/>
      <c r="AL2" s="24"/>
      <c r="AN2" s="23"/>
      <c r="AO2" s="22" t="s">
        <v>36</v>
      </c>
      <c r="AQ2" s="24"/>
      <c r="AR2" s="24"/>
      <c r="AT2" s="23"/>
      <c r="AW2" s="24" t="s">
        <v>37</v>
      </c>
      <c r="AX2" s="24"/>
      <c r="AZ2" s="23"/>
      <c r="BE2" s="22" t="s">
        <v>38</v>
      </c>
      <c r="BF2" s="23"/>
      <c r="BH2" s="23"/>
      <c r="BI2" s="23"/>
      <c r="BJ2" s="23"/>
      <c r="BK2" s="23"/>
      <c r="BM2" s="22" t="s">
        <v>41</v>
      </c>
      <c r="BN2" s="23"/>
      <c r="BP2" s="23"/>
      <c r="BQ2" s="23"/>
      <c r="BR2" s="23"/>
      <c r="BS2" s="23"/>
      <c r="BU2" s="22" t="s">
        <v>43</v>
      </c>
      <c r="BV2" s="23"/>
      <c r="BX2" s="23"/>
      <c r="BY2" s="23"/>
      <c r="BZ2" s="23"/>
      <c r="CA2" s="23"/>
      <c r="CC2" s="24" t="s">
        <v>46</v>
      </c>
      <c r="CD2" s="23"/>
      <c r="CF2" s="23"/>
      <c r="CG2" s="23"/>
      <c r="CH2" s="23"/>
      <c r="CI2" s="23"/>
      <c r="CK2" s="24" t="s">
        <v>48</v>
      </c>
      <c r="CL2" s="23"/>
      <c r="CN2" s="23"/>
      <c r="CO2" s="23"/>
      <c r="CP2" s="23"/>
      <c r="CQ2" s="23"/>
      <c r="CS2" s="24" t="s">
        <v>50</v>
      </c>
      <c r="CT2" s="23"/>
      <c r="CV2" s="23"/>
      <c r="CW2" s="23"/>
      <c r="CX2" s="23"/>
      <c r="CY2" s="23"/>
    </row>
    <row r="3" spans="1:103" s="22" customFormat="1" ht="28" customHeight="1">
      <c r="I3" s="34" t="s">
        <v>29</v>
      </c>
      <c r="Q3" s="34" t="s">
        <v>29</v>
      </c>
      <c r="T3" s="34" t="s">
        <v>30</v>
      </c>
      <c r="Y3" s="34" t="s">
        <v>30</v>
      </c>
      <c r="AB3" s="34" t="s">
        <v>31</v>
      </c>
      <c r="AG3" s="34" t="s">
        <v>31</v>
      </c>
    </row>
    <row r="4" spans="1:103" s="17" customFormat="1" ht="22" customHeight="1">
      <c r="A4" s="21" t="s">
        <v>18</v>
      </c>
      <c r="B4" s="21" t="s">
        <v>17</v>
      </c>
      <c r="C4" s="20" t="s">
        <v>16</v>
      </c>
      <c r="D4" s="19" t="s">
        <v>15</v>
      </c>
      <c r="E4" s="18" t="s">
        <v>14</v>
      </c>
      <c r="F4" s="18" t="s">
        <v>14</v>
      </c>
      <c r="G4" s="18" t="s">
        <v>14</v>
      </c>
      <c r="I4" s="21" t="s">
        <v>18</v>
      </c>
      <c r="J4" s="21" t="s">
        <v>17</v>
      </c>
      <c r="K4" s="20" t="s">
        <v>16</v>
      </c>
      <c r="L4" s="19" t="s">
        <v>15</v>
      </c>
      <c r="M4" s="18" t="s">
        <v>14</v>
      </c>
      <c r="N4" s="18" t="s">
        <v>14</v>
      </c>
      <c r="O4" s="18" t="s">
        <v>14</v>
      </c>
      <c r="Q4" s="21" t="s">
        <v>18</v>
      </c>
      <c r="R4" s="21" t="s">
        <v>17</v>
      </c>
      <c r="S4" s="20" t="s">
        <v>16</v>
      </c>
      <c r="T4" s="19" t="s">
        <v>15</v>
      </c>
      <c r="U4" s="18" t="s">
        <v>14</v>
      </c>
      <c r="V4" s="18" t="s">
        <v>14</v>
      </c>
      <c r="W4" s="18" t="s">
        <v>14</v>
      </c>
      <c r="Y4" s="21" t="s">
        <v>18</v>
      </c>
      <c r="Z4" s="21" t="s">
        <v>17</v>
      </c>
      <c r="AA4" s="20" t="s">
        <v>16</v>
      </c>
      <c r="AB4" s="19" t="s">
        <v>15</v>
      </c>
      <c r="AC4" s="18" t="s">
        <v>14</v>
      </c>
      <c r="AD4" s="18" t="s">
        <v>14</v>
      </c>
      <c r="AE4" s="18" t="s">
        <v>14</v>
      </c>
      <c r="AG4" s="21" t="s">
        <v>18</v>
      </c>
      <c r="AH4" s="21" t="s">
        <v>17</v>
      </c>
      <c r="AI4" s="20" t="s">
        <v>16</v>
      </c>
      <c r="AJ4" s="19" t="s">
        <v>15</v>
      </c>
      <c r="AK4" s="18" t="s">
        <v>14</v>
      </c>
      <c r="AL4" s="18" t="s">
        <v>14</v>
      </c>
      <c r="AM4" s="18" t="s">
        <v>14</v>
      </c>
      <c r="AO4" s="21" t="s">
        <v>18</v>
      </c>
      <c r="AP4" s="21" t="s">
        <v>17</v>
      </c>
      <c r="AQ4" s="20" t="s">
        <v>16</v>
      </c>
      <c r="AR4" s="19" t="s">
        <v>15</v>
      </c>
      <c r="AS4" s="18" t="s">
        <v>14</v>
      </c>
      <c r="AT4" s="18" t="s">
        <v>14</v>
      </c>
      <c r="AU4" s="18" t="s">
        <v>14</v>
      </c>
      <c r="AW4" s="21" t="s">
        <v>18</v>
      </c>
      <c r="AX4" s="21" t="s">
        <v>17</v>
      </c>
      <c r="AY4" s="20" t="s">
        <v>16</v>
      </c>
      <c r="AZ4" s="19" t="s">
        <v>15</v>
      </c>
      <c r="BA4" s="18" t="s">
        <v>14</v>
      </c>
      <c r="BB4" s="18" t="s">
        <v>14</v>
      </c>
      <c r="BC4" s="18" t="s">
        <v>14</v>
      </c>
      <c r="BE4" s="21" t="s">
        <v>18</v>
      </c>
      <c r="BF4" s="21" t="s">
        <v>17</v>
      </c>
      <c r="BG4" s="20" t="s">
        <v>16</v>
      </c>
      <c r="BH4" s="19" t="s">
        <v>15</v>
      </c>
      <c r="BI4" s="18" t="s">
        <v>14</v>
      </c>
      <c r="BJ4" s="18" t="s">
        <v>14</v>
      </c>
      <c r="BK4" s="18" t="s">
        <v>14</v>
      </c>
      <c r="BM4" s="21" t="s">
        <v>18</v>
      </c>
      <c r="BN4" s="21" t="s">
        <v>17</v>
      </c>
      <c r="BO4" s="20" t="s">
        <v>16</v>
      </c>
      <c r="BP4" s="19" t="s">
        <v>15</v>
      </c>
      <c r="BQ4" s="18" t="s">
        <v>14</v>
      </c>
      <c r="BR4" s="18" t="s">
        <v>14</v>
      </c>
      <c r="BS4" s="18" t="s">
        <v>14</v>
      </c>
      <c r="BU4" s="21" t="s">
        <v>18</v>
      </c>
      <c r="BV4" s="21" t="s">
        <v>17</v>
      </c>
      <c r="BW4" s="20" t="s">
        <v>16</v>
      </c>
      <c r="BX4" s="19" t="s">
        <v>15</v>
      </c>
      <c r="BY4" s="18" t="s">
        <v>14</v>
      </c>
      <c r="BZ4" s="18" t="s">
        <v>14</v>
      </c>
      <c r="CA4" s="18" t="s">
        <v>14</v>
      </c>
      <c r="CC4" s="21" t="s">
        <v>18</v>
      </c>
      <c r="CD4" s="21" t="s">
        <v>17</v>
      </c>
      <c r="CE4" s="20" t="s">
        <v>16</v>
      </c>
      <c r="CF4" s="19" t="s">
        <v>15</v>
      </c>
      <c r="CG4" s="18" t="s">
        <v>14</v>
      </c>
      <c r="CH4" s="18" t="s">
        <v>14</v>
      </c>
      <c r="CI4" s="18" t="s">
        <v>14</v>
      </c>
      <c r="CK4" s="21" t="s">
        <v>18</v>
      </c>
      <c r="CL4" s="21" t="s">
        <v>17</v>
      </c>
      <c r="CM4" s="20" t="s">
        <v>16</v>
      </c>
      <c r="CN4" s="19" t="s">
        <v>15</v>
      </c>
      <c r="CO4" s="18" t="s">
        <v>14</v>
      </c>
      <c r="CP4" s="18" t="s">
        <v>14</v>
      </c>
      <c r="CQ4" s="18" t="s">
        <v>14</v>
      </c>
      <c r="CS4" s="21" t="s">
        <v>18</v>
      </c>
      <c r="CT4" s="21" t="s">
        <v>17</v>
      </c>
      <c r="CU4" s="20" t="s">
        <v>16</v>
      </c>
      <c r="CV4" s="19" t="s">
        <v>15</v>
      </c>
      <c r="CW4" s="18" t="s">
        <v>14</v>
      </c>
      <c r="CX4" s="18" t="s">
        <v>14</v>
      </c>
      <c r="CY4" s="18" t="s">
        <v>14</v>
      </c>
    </row>
    <row r="5" spans="1:103" s="42" customFormat="1" ht="22" customHeight="1">
      <c r="A5" s="16">
        <v>75</v>
      </c>
      <c r="B5" s="35" t="s">
        <v>32</v>
      </c>
      <c r="C5" s="43">
        <v>31227</v>
      </c>
      <c r="D5" s="1"/>
      <c r="E5" s="40"/>
      <c r="F5" s="40"/>
      <c r="G5" s="40"/>
      <c r="H5" s="1"/>
      <c r="I5" s="16">
        <v>75</v>
      </c>
      <c r="J5" s="35" t="s">
        <v>32</v>
      </c>
      <c r="K5" s="43">
        <v>25585</v>
      </c>
      <c r="L5" s="1"/>
      <c r="M5" s="12">
        <f t="shared" ref="M5" si="0">K5-C5</f>
        <v>-5642</v>
      </c>
      <c r="N5" s="14">
        <f t="shared" ref="N5" si="1">L5-D5</f>
        <v>0</v>
      </c>
      <c r="O5" s="13" t="e">
        <f t="shared" ref="O5" si="2">(L5-D5)/D5</f>
        <v>#DIV/0!</v>
      </c>
      <c r="P5" s="1"/>
      <c r="Q5" s="16">
        <v>75</v>
      </c>
      <c r="R5" s="35" t="s">
        <v>32</v>
      </c>
      <c r="S5" s="43">
        <v>17917</v>
      </c>
      <c r="T5" s="1"/>
      <c r="U5" s="12">
        <f t="shared" ref="U5:U65" si="3">S5-K5</f>
        <v>-7668</v>
      </c>
      <c r="V5" s="14">
        <f t="shared" ref="V5:V65" si="4">T5-L5</f>
        <v>0</v>
      </c>
      <c r="W5" s="13" t="e">
        <f t="shared" ref="W5:W65" si="5">(T5-L5)/L5</f>
        <v>#DIV/0!</v>
      </c>
      <c r="X5" s="1"/>
      <c r="Y5" s="16">
        <v>75</v>
      </c>
      <c r="Z5" s="35" t="s">
        <v>32</v>
      </c>
      <c r="AA5" s="43">
        <v>17993</v>
      </c>
      <c r="AB5" s="1"/>
      <c r="AC5" s="12">
        <f t="shared" ref="AC5:AC65" si="6">AA5-S5</f>
        <v>76</v>
      </c>
      <c r="AD5" s="14">
        <f t="shared" ref="AD5:AD65" si="7">AB5-T5</f>
        <v>0</v>
      </c>
      <c r="AE5" s="13" t="e">
        <f t="shared" ref="AE5:AE65" si="8">(AB5-T5)/T5</f>
        <v>#DIV/0!</v>
      </c>
      <c r="AF5" s="1"/>
      <c r="AG5" s="16">
        <v>75</v>
      </c>
      <c r="AH5" s="35" t="s">
        <v>32</v>
      </c>
      <c r="AI5" s="43">
        <v>12285</v>
      </c>
      <c r="AJ5" s="1"/>
      <c r="AK5" s="12">
        <f t="shared" ref="AK5:AK65" si="9">AI5-AA5</f>
        <v>-5708</v>
      </c>
      <c r="AL5" s="14">
        <f t="shared" ref="AL5:AL65" si="10">AJ5-AB5</f>
        <v>0</v>
      </c>
      <c r="AM5" s="13" t="e">
        <f t="shared" ref="AM5:AM65" si="11">(AJ5-AB5)/AB5</f>
        <v>#DIV/0!</v>
      </c>
      <c r="AN5" s="1"/>
      <c r="AO5" s="16">
        <v>75</v>
      </c>
      <c r="AP5" s="35" t="s">
        <v>32</v>
      </c>
      <c r="AQ5" s="43">
        <v>11491</v>
      </c>
      <c r="AR5" s="1"/>
      <c r="AS5" s="12">
        <f t="shared" ref="AS5:AS65" si="12">AQ5-AI5</f>
        <v>-794</v>
      </c>
      <c r="AT5" s="14">
        <f t="shared" ref="AT5:AT65" si="13">AR5-AJ5</f>
        <v>0</v>
      </c>
      <c r="AU5" s="13" t="e">
        <f t="shared" ref="AU5:AU65" si="14">(AR5-AJ5)/AJ5</f>
        <v>#DIV/0!</v>
      </c>
      <c r="AV5" s="1"/>
      <c r="AW5" s="16">
        <v>75</v>
      </c>
      <c r="AX5" s="35" t="s">
        <v>32</v>
      </c>
      <c r="AY5" s="43">
        <v>11638</v>
      </c>
      <c r="AZ5" s="1"/>
      <c r="BA5" s="12">
        <f t="shared" ref="BA5:BA65" si="15">AY5-AQ5</f>
        <v>147</v>
      </c>
      <c r="BB5" s="14">
        <f t="shared" ref="BB5:BB65" si="16">AZ5-AR5</f>
        <v>0</v>
      </c>
      <c r="BC5" s="13" t="e">
        <f t="shared" ref="BC5:BC65" si="17">(AZ5-AR5)/AR5</f>
        <v>#DIV/0!</v>
      </c>
      <c r="BD5" s="41"/>
      <c r="BE5" s="16">
        <v>75</v>
      </c>
      <c r="BF5" s="35" t="s">
        <v>32</v>
      </c>
      <c r="BG5" s="17">
        <v>9691</v>
      </c>
      <c r="BH5" s="36"/>
      <c r="BI5" s="12">
        <f t="shared" ref="BI5:BI6" si="18">BG5-AY5</f>
        <v>-1947</v>
      </c>
      <c r="BJ5" s="14">
        <f t="shared" ref="BJ5:BJ6" si="19">BH5-AZ5</f>
        <v>0</v>
      </c>
      <c r="BK5" s="13" t="e">
        <f t="shared" ref="BK5:BK6" si="20">(BH5-AZ5)/AZ5</f>
        <v>#DIV/0!</v>
      </c>
      <c r="BL5" s="41"/>
      <c r="BM5" s="16">
        <v>75</v>
      </c>
      <c r="BN5" s="35" t="s">
        <v>32</v>
      </c>
      <c r="BO5" s="17">
        <v>8806</v>
      </c>
      <c r="BP5" s="36"/>
      <c r="BQ5" s="12">
        <f t="shared" ref="BQ5:BQ65" si="21">BO5-BG5</f>
        <v>-885</v>
      </c>
      <c r="BR5" s="14">
        <f t="shared" ref="BR5:BR65" si="22">BP5-BH5</f>
        <v>0</v>
      </c>
      <c r="BS5" s="13" t="e">
        <f t="shared" ref="BS5:BS65" si="23">(BP5-BH5)/BH5</f>
        <v>#DIV/0!</v>
      </c>
      <c r="BT5" s="41"/>
      <c r="BU5" s="16">
        <v>75</v>
      </c>
      <c r="BV5" s="35" t="s">
        <v>32</v>
      </c>
      <c r="BW5" s="17">
        <v>8336</v>
      </c>
      <c r="BX5" s="36"/>
      <c r="BY5" s="12">
        <f t="shared" ref="BY5:BY65" si="24">BW5-BO5</f>
        <v>-470</v>
      </c>
      <c r="BZ5" s="14">
        <f t="shared" ref="BZ5:BZ65" si="25">BX5-BP5</f>
        <v>0</v>
      </c>
      <c r="CA5" s="13" t="e">
        <f t="shared" ref="CA5:CA65" si="26">(BX5-BP5)/BP5</f>
        <v>#DIV/0!</v>
      </c>
      <c r="CB5" s="41"/>
      <c r="CC5" s="16">
        <v>75</v>
      </c>
      <c r="CD5" s="35" t="s">
        <v>32</v>
      </c>
      <c r="CE5" s="17">
        <v>8335</v>
      </c>
      <c r="CF5" s="36"/>
      <c r="CG5" s="12">
        <f t="shared" ref="CG5:CG65" si="27">CE5-BW5</f>
        <v>-1</v>
      </c>
      <c r="CH5" s="14">
        <f t="shared" ref="CH5:CH65" si="28">CF5-BX5</f>
        <v>0</v>
      </c>
      <c r="CI5" s="13" t="e">
        <f t="shared" ref="CI5:CI65" si="29">(CF5-BX5)/BX5</f>
        <v>#DIV/0!</v>
      </c>
      <c r="CJ5" s="41"/>
      <c r="CK5" s="16">
        <v>75</v>
      </c>
      <c r="CL5" s="35" t="s">
        <v>32</v>
      </c>
      <c r="CM5" s="17">
        <v>6943</v>
      </c>
      <c r="CN5" s="36"/>
      <c r="CO5" s="12">
        <f t="shared" ref="CO5:CO65" si="30">CM5-CE5</f>
        <v>-1392</v>
      </c>
      <c r="CP5" s="14">
        <f t="shared" ref="CP5:CP65" si="31">CN5-CF5</f>
        <v>0</v>
      </c>
      <c r="CQ5" s="13" t="e">
        <f t="shared" ref="CQ5:CQ65" si="32">(CN5-CF5)/CF5</f>
        <v>#DIV/0!</v>
      </c>
      <c r="CR5" s="41"/>
      <c r="CS5" s="16">
        <v>75</v>
      </c>
      <c r="CT5" s="35" t="s">
        <v>32</v>
      </c>
      <c r="CU5" s="17">
        <v>8729</v>
      </c>
      <c r="CV5" s="36"/>
      <c r="CW5" s="12">
        <f t="shared" ref="CW5:CW65" si="33">CU5-CM5</f>
        <v>1786</v>
      </c>
      <c r="CX5" s="14">
        <f t="shared" ref="CX5:CX65" si="34">CV5-CN5</f>
        <v>0</v>
      </c>
      <c r="CY5" s="13" t="e">
        <f t="shared" ref="CY5:CY65" si="35">(CV5-CN5)/CN5</f>
        <v>#DIV/0!</v>
      </c>
    </row>
    <row r="6" spans="1:103" s="17" customFormat="1" ht="22" customHeight="1">
      <c r="A6" s="16"/>
      <c r="B6" s="35" t="s">
        <v>33</v>
      </c>
      <c r="C6" s="17">
        <v>14</v>
      </c>
      <c r="D6" s="36"/>
      <c r="E6" s="37"/>
      <c r="F6" s="37"/>
      <c r="G6" s="37"/>
      <c r="I6" s="16"/>
      <c r="J6" s="35" t="s">
        <v>33</v>
      </c>
      <c r="K6" s="17">
        <v>17</v>
      </c>
      <c r="L6" s="36"/>
      <c r="M6" s="12">
        <f t="shared" ref="M6" si="36">K6-C6</f>
        <v>3</v>
      </c>
      <c r="N6" s="14">
        <f t="shared" ref="N6" si="37">L6-D6</f>
        <v>0</v>
      </c>
      <c r="O6" s="13" t="e">
        <f t="shared" ref="O6" si="38">(L6-D6)/D6</f>
        <v>#DIV/0!</v>
      </c>
      <c r="Q6" s="16"/>
      <c r="R6" s="35" t="s">
        <v>33</v>
      </c>
      <c r="S6" s="17">
        <v>27</v>
      </c>
      <c r="T6" s="36"/>
      <c r="U6" s="12">
        <f t="shared" si="3"/>
        <v>10</v>
      </c>
      <c r="V6" s="14">
        <f t="shared" si="4"/>
        <v>0</v>
      </c>
      <c r="W6" s="13" t="e">
        <f t="shared" si="5"/>
        <v>#DIV/0!</v>
      </c>
      <c r="Y6" s="16"/>
      <c r="Z6" s="35" t="s">
        <v>33</v>
      </c>
      <c r="AA6" s="17">
        <v>49</v>
      </c>
      <c r="AB6" s="36"/>
      <c r="AC6" s="12">
        <f t="shared" si="6"/>
        <v>22</v>
      </c>
      <c r="AD6" s="14">
        <f t="shared" si="7"/>
        <v>0</v>
      </c>
      <c r="AE6" s="13" t="e">
        <f t="shared" si="8"/>
        <v>#DIV/0!</v>
      </c>
      <c r="AG6" s="16"/>
      <c r="AH6" s="35" t="s">
        <v>33</v>
      </c>
      <c r="AI6" s="17">
        <v>39</v>
      </c>
      <c r="AJ6" s="36"/>
      <c r="AK6" s="12">
        <f t="shared" si="9"/>
        <v>-10</v>
      </c>
      <c r="AL6" s="14">
        <f t="shared" si="10"/>
        <v>0</v>
      </c>
      <c r="AM6" s="13" t="e">
        <f t="shared" si="11"/>
        <v>#DIV/0!</v>
      </c>
      <c r="AO6" s="16"/>
      <c r="AP6" s="35" t="s">
        <v>33</v>
      </c>
      <c r="AQ6" s="17">
        <v>54</v>
      </c>
      <c r="AR6" s="36"/>
      <c r="AS6" s="12">
        <f t="shared" si="12"/>
        <v>15</v>
      </c>
      <c r="AT6" s="14">
        <f t="shared" si="13"/>
        <v>0</v>
      </c>
      <c r="AU6" s="13" t="e">
        <f t="shared" si="14"/>
        <v>#DIV/0!</v>
      </c>
      <c r="AW6" s="16"/>
      <c r="AX6" s="35" t="s">
        <v>33</v>
      </c>
      <c r="AY6" s="17">
        <v>43</v>
      </c>
      <c r="AZ6" s="36"/>
      <c r="BA6" s="12">
        <f t="shared" si="15"/>
        <v>-11</v>
      </c>
      <c r="BB6" s="14">
        <f t="shared" si="16"/>
        <v>0</v>
      </c>
      <c r="BC6" s="13" t="e">
        <f t="shared" si="17"/>
        <v>#DIV/0!</v>
      </c>
      <c r="BE6" s="16"/>
      <c r="BF6" s="35" t="s">
        <v>33</v>
      </c>
      <c r="BG6" s="17">
        <v>50</v>
      </c>
      <c r="BH6" s="36"/>
      <c r="BI6" s="12">
        <f t="shared" si="18"/>
        <v>7</v>
      </c>
      <c r="BJ6" s="14">
        <f t="shared" si="19"/>
        <v>0</v>
      </c>
      <c r="BK6" s="13" t="e">
        <f t="shared" si="20"/>
        <v>#DIV/0!</v>
      </c>
      <c r="BM6" s="16"/>
      <c r="BN6" s="35" t="s">
        <v>33</v>
      </c>
      <c r="BO6" s="17">
        <v>34</v>
      </c>
      <c r="BP6" s="36"/>
      <c r="BQ6" s="12">
        <f t="shared" si="21"/>
        <v>-16</v>
      </c>
      <c r="BR6" s="14">
        <f t="shared" si="22"/>
        <v>0</v>
      </c>
      <c r="BS6" s="13" t="e">
        <f t="shared" si="23"/>
        <v>#DIV/0!</v>
      </c>
      <c r="BU6" s="16"/>
      <c r="BV6" s="35" t="s">
        <v>33</v>
      </c>
      <c r="BW6" s="17">
        <v>27</v>
      </c>
      <c r="BX6" s="36"/>
      <c r="BY6" s="12">
        <f t="shared" si="24"/>
        <v>-7</v>
      </c>
      <c r="BZ6" s="14">
        <f t="shared" si="25"/>
        <v>0</v>
      </c>
      <c r="CA6" s="13" t="e">
        <f t="shared" si="26"/>
        <v>#DIV/0!</v>
      </c>
      <c r="CC6" s="16"/>
      <c r="CD6" s="35" t="s">
        <v>33</v>
      </c>
      <c r="CE6" s="17">
        <v>47</v>
      </c>
      <c r="CF6" s="36"/>
      <c r="CG6" s="12">
        <f t="shared" si="27"/>
        <v>20</v>
      </c>
      <c r="CH6" s="14">
        <f t="shared" si="28"/>
        <v>0</v>
      </c>
      <c r="CI6" s="13" t="e">
        <f t="shared" si="29"/>
        <v>#DIV/0!</v>
      </c>
      <c r="CK6" s="16"/>
      <c r="CL6" s="35" t="s">
        <v>33</v>
      </c>
      <c r="CM6" s="17">
        <v>21</v>
      </c>
      <c r="CN6" s="36"/>
      <c r="CO6" s="12">
        <f t="shared" si="30"/>
        <v>-26</v>
      </c>
      <c r="CP6" s="14">
        <f t="shared" si="31"/>
        <v>0</v>
      </c>
      <c r="CQ6" s="13" t="e">
        <f t="shared" si="32"/>
        <v>#DIV/0!</v>
      </c>
      <c r="CS6" s="16"/>
      <c r="CT6" s="35" t="s">
        <v>33</v>
      </c>
      <c r="CU6" s="17">
        <v>30</v>
      </c>
      <c r="CV6" s="36"/>
      <c r="CW6" s="12">
        <f t="shared" si="33"/>
        <v>9</v>
      </c>
      <c r="CX6" s="14">
        <f t="shared" si="34"/>
        <v>0</v>
      </c>
      <c r="CY6" s="13" t="e">
        <f t="shared" si="35"/>
        <v>#DIV/0!</v>
      </c>
    </row>
    <row r="7" spans="1:103" s="12" customFormat="1" ht="20" customHeight="1">
      <c r="A7" s="16"/>
      <c r="B7" s="15" t="s">
        <v>10</v>
      </c>
      <c r="C7" s="12">
        <v>277</v>
      </c>
      <c r="D7" s="14">
        <v>283009.52380857011</v>
      </c>
      <c r="F7" s="14"/>
      <c r="G7" s="13"/>
      <c r="I7" s="16"/>
      <c r="J7" s="15" t="s">
        <v>10</v>
      </c>
      <c r="K7" s="12">
        <v>292</v>
      </c>
      <c r="L7" s="14">
        <v>317130.47618950985</v>
      </c>
      <c r="M7" s="12">
        <f t="shared" ref="M7:M42" si="39">K7-C7</f>
        <v>15</v>
      </c>
      <c r="N7" s="14">
        <f t="shared" ref="N7:N42" si="40">L7-D7</f>
        <v>34120.952380939736</v>
      </c>
      <c r="O7" s="13">
        <f t="shared" ref="O7:O42" si="41">(L7-D7)/D7</f>
        <v>0.12056467896119079</v>
      </c>
      <c r="Q7" s="16"/>
      <c r="R7" s="15" t="s">
        <v>10</v>
      </c>
      <c r="S7" s="12">
        <v>461</v>
      </c>
      <c r="T7" s="14">
        <v>515246.66666530969</v>
      </c>
      <c r="U7" s="12">
        <f t="shared" si="3"/>
        <v>169</v>
      </c>
      <c r="V7" s="14">
        <f t="shared" si="4"/>
        <v>198116.19047579984</v>
      </c>
      <c r="W7" s="13">
        <f t="shared" si="5"/>
        <v>0.62471507896771861</v>
      </c>
      <c r="Y7" s="16"/>
      <c r="Z7" s="15" t="s">
        <v>10</v>
      </c>
      <c r="AA7" s="12">
        <v>427</v>
      </c>
      <c r="AB7" s="14">
        <v>509714.2857128802</v>
      </c>
      <c r="AC7" s="12">
        <f t="shared" si="6"/>
        <v>-34</v>
      </c>
      <c r="AD7" s="14">
        <f t="shared" si="7"/>
        <v>-5532.380952429492</v>
      </c>
      <c r="AE7" s="13">
        <f t="shared" si="8"/>
        <v>-1.0737344480528542E-2</v>
      </c>
      <c r="AG7" s="16"/>
      <c r="AH7" s="15" t="s">
        <v>10</v>
      </c>
      <c r="AI7" s="12">
        <v>310</v>
      </c>
      <c r="AJ7" s="14">
        <v>376394.28571326024</v>
      </c>
      <c r="AK7" s="12">
        <f t="shared" si="9"/>
        <v>-117</v>
      </c>
      <c r="AL7" s="14">
        <f t="shared" si="10"/>
        <v>-133319.99999961996</v>
      </c>
      <c r="AM7" s="13">
        <f t="shared" si="11"/>
        <v>-0.26155829596410118</v>
      </c>
      <c r="AO7" s="16"/>
      <c r="AP7" s="15" t="s">
        <v>10</v>
      </c>
      <c r="AQ7" s="12">
        <v>319</v>
      </c>
      <c r="AR7" s="14">
        <v>351366.66666564008</v>
      </c>
      <c r="AS7" s="12">
        <f t="shared" si="12"/>
        <v>9</v>
      </c>
      <c r="AT7" s="14">
        <f t="shared" si="13"/>
        <v>-25027.619047620159</v>
      </c>
      <c r="AU7" s="13">
        <f t="shared" si="14"/>
        <v>-6.6493089819876727E-2</v>
      </c>
      <c r="AW7" s="16"/>
      <c r="AX7" s="15" t="s">
        <v>10</v>
      </c>
      <c r="AY7" s="12">
        <v>296</v>
      </c>
      <c r="AZ7" s="14">
        <v>313259.9999989997</v>
      </c>
      <c r="BA7" s="12">
        <f t="shared" si="15"/>
        <v>-23</v>
      </c>
      <c r="BB7" s="14">
        <f t="shared" si="16"/>
        <v>-38106.666666640376</v>
      </c>
      <c r="BC7" s="13">
        <f t="shared" si="17"/>
        <v>-0.10845270847192405</v>
      </c>
      <c r="BE7" s="16"/>
      <c r="BF7" s="15" t="s">
        <v>10</v>
      </c>
      <c r="BG7" s="12">
        <v>272</v>
      </c>
      <c r="BH7" s="14">
        <v>261304.76190385997</v>
      </c>
      <c r="BI7" s="12">
        <f t="shared" ref="BI7:BI65" si="42">BG7-AY7</f>
        <v>-24</v>
      </c>
      <c r="BJ7" s="14">
        <f t="shared" ref="BJ7:BJ65" si="43">BH7-AZ7</f>
        <v>-51955.238095139735</v>
      </c>
      <c r="BK7" s="13">
        <f t="shared" ref="BK7:BK65" si="44">(BH7-AZ7)/AZ7</f>
        <v>-0.16585340642056323</v>
      </c>
      <c r="BM7" s="16"/>
      <c r="BN7" s="15" t="s">
        <v>10</v>
      </c>
      <c r="BO7" s="12">
        <v>265</v>
      </c>
      <c r="BP7" s="14">
        <v>275323.80952288979</v>
      </c>
      <c r="BQ7" s="12">
        <f t="shared" si="21"/>
        <v>-7</v>
      </c>
      <c r="BR7" s="14">
        <f t="shared" si="22"/>
        <v>14019.047619029821</v>
      </c>
      <c r="BS7" s="13">
        <f t="shared" si="23"/>
        <v>5.3650180413427569E-2</v>
      </c>
      <c r="BU7" s="16"/>
      <c r="BV7" s="15" t="s">
        <v>10</v>
      </c>
      <c r="BW7" s="12">
        <v>254</v>
      </c>
      <c r="BX7" s="14">
        <v>267507.61904672981</v>
      </c>
      <c r="BY7" s="12">
        <f t="shared" si="24"/>
        <v>-11</v>
      </c>
      <c r="BZ7" s="14">
        <f t="shared" si="25"/>
        <v>-7816.1904761599726</v>
      </c>
      <c r="CA7" s="13">
        <f t="shared" si="26"/>
        <v>-2.8389082984521731E-2</v>
      </c>
      <c r="CC7" s="16"/>
      <c r="CD7" s="15" t="s">
        <v>10</v>
      </c>
      <c r="CE7" s="12">
        <v>277</v>
      </c>
      <c r="CF7" s="14">
        <v>282864.76190379006</v>
      </c>
      <c r="CG7" s="12">
        <f t="shared" si="27"/>
        <v>23</v>
      </c>
      <c r="CH7" s="14">
        <f t="shared" si="28"/>
        <v>15357.142857060244</v>
      </c>
      <c r="CI7" s="13">
        <f t="shared" si="29"/>
        <v>5.7408244713873242E-2</v>
      </c>
      <c r="CK7" s="16"/>
      <c r="CL7" s="15" t="s">
        <v>10</v>
      </c>
      <c r="CM7" s="12">
        <v>233</v>
      </c>
      <c r="CN7" s="14">
        <v>248118.09523729995</v>
      </c>
      <c r="CO7" s="12">
        <f t="shared" si="30"/>
        <v>-44</v>
      </c>
      <c r="CP7" s="14">
        <f t="shared" si="31"/>
        <v>-34746.666666490113</v>
      </c>
      <c r="CQ7" s="13">
        <f t="shared" si="32"/>
        <v>-0.12283844206196455</v>
      </c>
      <c r="CS7" s="16"/>
      <c r="CT7" s="15" t="s">
        <v>10</v>
      </c>
      <c r="CU7" s="12">
        <v>314</v>
      </c>
      <c r="CV7" s="14">
        <v>358900.95237982011</v>
      </c>
      <c r="CW7" s="12">
        <f t="shared" si="33"/>
        <v>81</v>
      </c>
      <c r="CX7" s="14">
        <f t="shared" si="34"/>
        <v>110782.85714252017</v>
      </c>
      <c r="CY7" s="13">
        <f t="shared" si="35"/>
        <v>0.44649245367036827</v>
      </c>
    </row>
    <row r="8" spans="1:103" s="12" customFormat="1" ht="20" customHeight="1">
      <c r="A8" s="16"/>
      <c r="B8" s="15" t="s">
        <v>9</v>
      </c>
      <c r="C8" s="12">
        <v>469</v>
      </c>
      <c r="D8" s="14">
        <v>463554.28571405995</v>
      </c>
      <c r="F8" s="14"/>
      <c r="G8" s="13"/>
      <c r="I8" s="16"/>
      <c r="J8" s="15" t="s">
        <v>9</v>
      </c>
      <c r="K8" s="12">
        <v>348</v>
      </c>
      <c r="L8" s="14">
        <v>421600.95238075999</v>
      </c>
      <c r="M8" s="12">
        <f t="shared" si="39"/>
        <v>-121</v>
      </c>
      <c r="N8" s="14">
        <f t="shared" si="40"/>
        <v>-41953.333333299961</v>
      </c>
      <c r="O8" s="13">
        <f t="shared" si="41"/>
        <v>-9.0503603625786702E-2</v>
      </c>
      <c r="Q8" s="16"/>
      <c r="R8" s="15" t="s">
        <v>9</v>
      </c>
      <c r="S8" s="12">
        <v>447</v>
      </c>
      <c r="T8" s="14">
        <v>616982.85714266007</v>
      </c>
      <c r="U8" s="12">
        <f t="shared" si="3"/>
        <v>99</v>
      </c>
      <c r="V8" s="14">
        <f t="shared" si="4"/>
        <v>195381.90476190008</v>
      </c>
      <c r="W8" s="13">
        <f t="shared" si="5"/>
        <v>0.46342851850449579</v>
      </c>
      <c r="Y8" s="16"/>
      <c r="Z8" s="15" t="s">
        <v>9</v>
      </c>
      <c r="AA8" s="12">
        <v>459</v>
      </c>
      <c r="AB8" s="14">
        <v>518668.57142836001</v>
      </c>
      <c r="AC8" s="12">
        <f t="shared" si="6"/>
        <v>12</v>
      </c>
      <c r="AD8" s="14">
        <f t="shared" si="7"/>
        <v>-98314.285714300058</v>
      </c>
      <c r="AE8" s="13">
        <f t="shared" si="8"/>
        <v>-0.15934686770651657</v>
      </c>
      <c r="AG8" s="16"/>
      <c r="AH8" s="15" t="s">
        <v>9</v>
      </c>
      <c r="AI8" s="12">
        <v>357</v>
      </c>
      <c r="AJ8" s="14">
        <v>401904.76190458995</v>
      </c>
      <c r="AK8" s="12">
        <f t="shared" si="9"/>
        <v>-102</v>
      </c>
      <c r="AL8" s="14">
        <f t="shared" si="10"/>
        <v>-116763.80952377006</v>
      </c>
      <c r="AM8" s="13">
        <f t="shared" si="11"/>
        <v>-0.22512219933090319</v>
      </c>
      <c r="AO8" s="16"/>
      <c r="AP8" s="15" t="s">
        <v>9</v>
      </c>
      <c r="AQ8" s="12">
        <v>378</v>
      </c>
      <c r="AR8" s="14">
        <v>456372.38095218991</v>
      </c>
      <c r="AS8" s="12">
        <f t="shared" si="12"/>
        <v>21</v>
      </c>
      <c r="AT8" s="14">
        <f t="shared" si="13"/>
        <v>54467.619047599961</v>
      </c>
      <c r="AU8" s="13">
        <f t="shared" si="14"/>
        <v>0.13552369668247494</v>
      </c>
      <c r="AW8" s="16"/>
      <c r="AX8" s="15" t="s">
        <v>9</v>
      </c>
      <c r="AY8" s="12">
        <v>325</v>
      </c>
      <c r="AZ8" s="14">
        <v>345895.23809503997</v>
      </c>
      <c r="BA8" s="12">
        <f t="shared" si="15"/>
        <v>-53</v>
      </c>
      <c r="BB8" s="14">
        <f t="shared" si="16"/>
        <v>-110477.14285714994</v>
      </c>
      <c r="BC8" s="13">
        <f t="shared" si="17"/>
        <v>-0.24207675018949854</v>
      </c>
      <c r="BE8" s="16"/>
      <c r="BF8" s="15" t="s">
        <v>9</v>
      </c>
      <c r="BG8" s="12">
        <v>348</v>
      </c>
      <c r="BH8" s="14">
        <v>416720.95238074992</v>
      </c>
      <c r="BI8" s="12">
        <f t="shared" si="42"/>
        <v>23</v>
      </c>
      <c r="BJ8" s="14">
        <f t="shared" si="43"/>
        <v>70825.714285709953</v>
      </c>
      <c r="BK8" s="13">
        <f t="shared" si="44"/>
        <v>0.20476059362878396</v>
      </c>
      <c r="BM8" s="16"/>
      <c r="BN8" s="15" t="s">
        <v>9</v>
      </c>
      <c r="BO8" s="12">
        <v>358</v>
      </c>
      <c r="BP8" s="14">
        <v>362030.47619031003</v>
      </c>
      <c r="BQ8" s="12">
        <f t="shared" si="21"/>
        <v>10</v>
      </c>
      <c r="BR8" s="14">
        <f t="shared" si="22"/>
        <v>-54690.476190439891</v>
      </c>
      <c r="BS8" s="13">
        <f t="shared" si="23"/>
        <v>-0.13124004415422399</v>
      </c>
      <c r="BU8" s="16"/>
      <c r="BV8" s="15" t="s">
        <v>9</v>
      </c>
      <c r="BW8" s="12">
        <v>324</v>
      </c>
      <c r="BX8" s="14">
        <v>367419.04761880974</v>
      </c>
      <c r="BY8" s="12">
        <f t="shared" si="24"/>
        <v>-34</v>
      </c>
      <c r="BZ8" s="14">
        <f t="shared" si="25"/>
        <v>5388.5714284997084</v>
      </c>
      <c r="CA8" s="13">
        <f t="shared" si="26"/>
        <v>1.4884303347067047E-2</v>
      </c>
      <c r="CC8" s="16"/>
      <c r="CD8" s="15" t="s">
        <v>9</v>
      </c>
      <c r="CE8" s="12">
        <v>319</v>
      </c>
      <c r="CF8" s="14">
        <v>421211.42857125989</v>
      </c>
      <c r="CG8" s="12">
        <f t="shared" si="27"/>
        <v>-5</v>
      </c>
      <c r="CH8" s="14">
        <f t="shared" si="28"/>
        <v>53792.380952450156</v>
      </c>
      <c r="CI8" s="13">
        <f t="shared" si="29"/>
        <v>0.14640607584465443</v>
      </c>
      <c r="CK8" s="16"/>
      <c r="CL8" s="15" t="s">
        <v>9</v>
      </c>
      <c r="CM8" s="12">
        <v>244</v>
      </c>
      <c r="CN8" s="14">
        <v>313939.04761885991</v>
      </c>
      <c r="CO8" s="12">
        <f t="shared" si="30"/>
        <v>-75</v>
      </c>
      <c r="CP8" s="14">
        <f t="shared" si="31"/>
        <v>-107272.38095239998</v>
      </c>
      <c r="CQ8" s="13">
        <f t="shared" si="32"/>
        <v>-0.25467585558223238</v>
      </c>
      <c r="CS8" s="16"/>
      <c r="CT8" s="15" t="s">
        <v>9</v>
      </c>
      <c r="CU8" s="12">
        <v>307</v>
      </c>
      <c r="CV8" s="14">
        <v>388816.19047601987</v>
      </c>
      <c r="CW8" s="12">
        <f t="shared" si="33"/>
        <v>63</v>
      </c>
      <c r="CX8" s="14">
        <f t="shared" si="34"/>
        <v>74877.142857159954</v>
      </c>
      <c r="CY8" s="13">
        <f t="shared" si="35"/>
        <v>0.23850853668915095</v>
      </c>
    </row>
    <row r="9" spans="1:103" s="12" customFormat="1" ht="20" customHeight="1">
      <c r="A9" s="16"/>
      <c r="B9" s="15" t="s">
        <v>8</v>
      </c>
      <c r="C9" s="12">
        <v>61</v>
      </c>
      <c r="D9" s="14">
        <v>389704.76190475002</v>
      </c>
      <c r="F9" s="14"/>
      <c r="G9" s="13"/>
      <c r="I9" s="16"/>
      <c r="J9" s="15" t="s">
        <v>8</v>
      </c>
      <c r="K9" s="12">
        <v>84</v>
      </c>
      <c r="L9" s="14">
        <v>536015.23809521995</v>
      </c>
      <c r="M9" s="12">
        <f t="shared" si="39"/>
        <v>23</v>
      </c>
      <c r="N9" s="14">
        <f t="shared" si="40"/>
        <v>146310.47619046993</v>
      </c>
      <c r="O9" s="13">
        <f t="shared" si="41"/>
        <v>0.3754392824849046</v>
      </c>
      <c r="Q9" s="16"/>
      <c r="R9" s="15" t="s">
        <v>8</v>
      </c>
      <c r="S9" s="12">
        <v>51</v>
      </c>
      <c r="T9" s="14">
        <v>346657.14285712002</v>
      </c>
      <c r="U9" s="12">
        <f t="shared" si="3"/>
        <v>-33</v>
      </c>
      <c r="V9" s="14">
        <f t="shared" si="4"/>
        <v>-189358.09523809992</v>
      </c>
      <c r="W9" s="13">
        <f t="shared" si="5"/>
        <v>-0.35326998521721426</v>
      </c>
      <c r="Y9" s="16"/>
      <c r="Z9" s="15" t="s">
        <v>8</v>
      </c>
      <c r="AA9" s="12">
        <v>53</v>
      </c>
      <c r="AB9" s="14">
        <v>367781.90476188</v>
      </c>
      <c r="AC9" s="12">
        <f t="shared" si="6"/>
        <v>2</v>
      </c>
      <c r="AD9" s="14">
        <f t="shared" si="7"/>
        <v>21124.761904759973</v>
      </c>
      <c r="AE9" s="13">
        <f t="shared" si="8"/>
        <v>6.0938487321078691E-2</v>
      </c>
      <c r="AG9" s="16"/>
      <c r="AH9" s="15" t="s">
        <v>8</v>
      </c>
      <c r="AI9" s="12">
        <v>58</v>
      </c>
      <c r="AJ9" s="14">
        <v>342304.76190474001</v>
      </c>
      <c r="AK9" s="12">
        <f t="shared" si="9"/>
        <v>5</v>
      </c>
      <c r="AL9" s="14">
        <f t="shared" si="10"/>
        <v>-25477.142857139988</v>
      </c>
      <c r="AM9" s="13">
        <f t="shared" si="11"/>
        <v>-6.92724207669628E-2</v>
      </c>
      <c r="AO9" s="16"/>
      <c r="AP9" s="15" t="s">
        <v>8</v>
      </c>
      <c r="AQ9" s="12">
        <v>40</v>
      </c>
      <c r="AR9" s="14">
        <v>273904.76190475002</v>
      </c>
      <c r="AS9" s="12">
        <f t="shared" si="12"/>
        <v>-18</v>
      </c>
      <c r="AT9" s="14">
        <f t="shared" si="13"/>
        <v>-68399.999999989988</v>
      </c>
      <c r="AU9" s="13">
        <f t="shared" si="14"/>
        <v>-0.19982193534025397</v>
      </c>
      <c r="AW9" s="16"/>
      <c r="AX9" s="15" t="s">
        <v>8</v>
      </c>
      <c r="AY9" s="12">
        <v>51</v>
      </c>
      <c r="AZ9" s="14">
        <v>330942.85714283003</v>
      </c>
      <c r="BA9" s="12">
        <f t="shared" si="15"/>
        <v>11</v>
      </c>
      <c r="BB9" s="14">
        <f t="shared" si="16"/>
        <v>57038.095238080015</v>
      </c>
      <c r="BC9" s="13">
        <f t="shared" si="17"/>
        <v>0.20824061196101049</v>
      </c>
      <c r="BE9" s="16"/>
      <c r="BF9" s="15" t="s">
        <v>8</v>
      </c>
      <c r="BG9" s="12">
        <v>199</v>
      </c>
      <c r="BH9" s="14">
        <v>1352394.2857142598</v>
      </c>
      <c r="BI9" s="12">
        <f t="shared" si="42"/>
        <v>148</v>
      </c>
      <c r="BJ9" s="14">
        <f t="shared" si="43"/>
        <v>1021451.4285714298</v>
      </c>
      <c r="BK9" s="13">
        <f t="shared" si="44"/>
        <v>3.0864888198224096</v>
      </c>
      <c r="BM9" s="16"/>
      <c r="BN9" s="15" t="s">
        <v>8</v>
      </c>
      <c r="BO9" s="12">
        <v>83</v>
      </c>
      <c r="BP9" s="14">
        <v>604268.57142853993</v>
      </c>
      <c r="BQ9" s="12">
        <f t="shared" si="21"/>
        <v>-116</v>
      </c>
      <c r="BR9" s="14">
        <f t="shared" si="22"/>
        <v>-748125.71428571991</v>
      </c>
      <c r="BS9" s="13">
        <f t="shared" si="23"/>
        <v>-0.55318609534837049</v>
      </c>
      <c r="BU9" s="16"/>
      <c r="BV9" s="15" t="s">
        <v>8</v>
      </c>
      <c r="BW9" s="12">
        <v>126</v>
      </c>
      <c r="BX9" s="14">
        <v>842444.76190473</v>
      </c>
      <c r="BY9" s="12">
        <f t="shared" si="24"/>
        <v>43</v>
      </c>
      <c r="BZ9" s="14">
        <f t="shared" si="25"/>
        <v>238176.19047619007</v>
      </c>
      <c r="CA9" s="13">
        <f t="shared" si="26"/>
        <v>0.39415617779544981</v>
      </c>
      <c r="CC9" s="16"/>
      <c r="CD9" s="15" t="s">
        <v>8</v>
      </c>
      <c r="CE9" s="12">
        <v>141</v>
      </c>
      <c r="CF9" s="14">
        <v>970085.7142857</v>
      </c>
      <c r="CG9" s="12">
        <f t="shared" si="27"/>
        <v>15</v>
      </c>
      <c r="CH9" s="14">
        <f t="shared" si="28"/>
        <v>127640.95238097</v>
      </c>
      <c r="CI9" s="13">
        <f t="shared" si="29"/>
        <v>0.15151254794721439</v>
      </c>
      <c r="CK9" s="16"/>
      <c r="CL9" s="15" t="s">
        <v>8</v>
      </c>
      <c r="CM9" s="12">
        <v>119</v>
      </c>
      <c r="CN9" s="14">
        <v>793152.38095235999</v>
      </c>
      <c r="CO9" s="12">
        <f t="shared" si="30"/>
        <v>-22</v>
      </c>
      <c r="CP9" s="14">
        <f t="shared" si="31"/>
        <v>-176933.33333334001</v>
      </c>
      <c r="CQ9" s="13">
        <f t="shared" si="32"/>
        <v>-0.18238938139978769</v>
      </c>
      <c r="CS9" s="16"/>
      <c r="CT9" s="15" t="s">
        <v>8</v>
      </c>
      <c r="CU9" s="12">
        <v>151</v>
      </c>
      <c r="CV9" s="14">
        <v>1063799.99999997</v>
      </c>
      <c r="CW9" s="12">
        <f t="shared" si="33"/>
        <v>32</v>
      </c>
      <c r="CX9" s="14">
        <f t="shared" si="34"/>
        <v>270647.61904760997</v>
      </c>
      <c r="CY9" s="13">
        <f t="shared" si="35"/>
        <v>0.34123029262376531</v>
      </c>
    </row>
    <row r="10" spans="1:103" s="12" customFormat="1" ht="20" customHeight="1">
      <c r="A10" s="16"/>
      <c r="B10" s="15" t="s">
        <v>7</v>
      </c>
      <c r="C10" s="12">
        <v>98</v>
      </c>
      <c r="D10" s="14">
        <v>1517333.33333313</v>
      </c>
      <c r="F10" s="14"/>
      <c r="G10" s="13"/>
      <c r="I10" s="16"/>
      <c r="J10" s="15" t="s">
        <v>7</v>
      </c>
      <c r="K10" s="12">
        <v>144</v>
      </c>
      <c r="L10" s="14">
        <v>2351999.9999997998</v>
      </c>
      <c r="M10" s="12">
        <f t="shared" si="39"/>
        <v>46</v>
      </c>
      <c r="N10" s="14">
        <f t="shared" si="40"/>
        <v>834666.66666666977</v>
      </c>
      <c r="O10" s="13">
        <f t="shared" si="41"/>
        <v>0.55008787346229016</v>
      </c>
      <c r="Q10" s="16"/>
      <c r="R10" s="15" t="s">
        <v>7</v>
      </c>
      <c r="S10" s="12">
        <v>127</v>
      </c>
      <c r="T10" s="14">
        <v>1853142.8571426999</v>
      </c>
      <c r="U10" s="12">
        <f t="shared" si="3"/>
        <v>-17</v>
      </c>
      <c r="V10" s="14">
        <f t="shared" si="4"/>
        <v>-498857.14285709988</v>
      </c>
      <c r="W10" s="13">
        <f t="shared" si="5"/>
        <v>-0.21209912536443126</v>
      </c>
      <c r="Y10" s="16"/>
      <c r="Z10" s="15" t="s">
        <v>7</v>
      </c>
      <c r="AA10" s="12">
        <v>139</v>
      </c>
      <c r="AB10" s="14">
        <v>2008190.47619031</v>
      </c>
      <c r="AC10" s="12">
        <f t="shared" si="6"/>
        <v>12</v>
      </c>
      <c r="AD10" s="14">
        <f t="shared" si="7"/>
        <v>155047.61904761009</v>
      </c>
      <c r="AE10" s="13">
        <f t="shared" si="8"/>
        <v>8.3667386165075755E-2</v>
      </c>
      <c r="AG10" s="16"/>
      <c r="AH10" s="15" t="s">
        <v>7</v>
      </c>
      <c r="AI10" s="12">
        <v>90</v>
      </c>
      <c r="AJ10" s="14">
        <v>1313809.5238093601</v>
      </c>
      <c r="AK10" s="12">
        <f t="shared" si="9"/>
        <v>-49</v>
      </c>
      <c r="AL10" s="14">
        <f t="shared" si="10"/>
        <v>-694380.95238094986</v>
      </c>
      <c r="AM10" s="13">
        <f t="shared" si="11"/>
        <v>-0.34577444750073871</v>
      </c>
      <c r="AO10" s="16"/>
      <c r="AP10" s="15" t="s">
        <v>7</v>
      </c>
      <c r="AQ10" s="12">
        <v>57</v>
      </c>
      <c r="AR10" s="14">
        <v>773619.04761898005</v>
      </c>
      <c r="AS10" s="12">
        <f t="shared" si="12"/>
        <v>-33</v>
      </c>
      <c r="AT10" s="14">
        <f t="shared" si="13"/>
        <v>-540190.47619038005</v>
      </c>
      <c r="AU10" s="13">
        <f t="shared" si="14"/>
        <v>-0.41116346502353734</v>
      </c>
      <c r="AW10" s="16"/>
      <c r="AX10" s="15" t="s">
        <v>7</v>
      </c>
      <c r="AY10" s="12">
        <v>74</v>
      </c>
      <c r="AZ10" s="14">
        <v>1163904.7619046601</v>
      </c>
      <c r="BA10" s="12">
        <f t="shared" si="15"/>
        <v>17</v>
      </c>
      <c r="BB10" s="14">
        <f t="shared" si="16"/>
        <v>390285.71428568009</v>
      </c>
      <c r="BC10" s="13">
        <f t="shared" si="17"/>
        <v>0.50449341376338774</v>
      </c>
      <c r="BE10" s="16"/>
      <c r="BF10" s="15" t="s">
        <v>7</v>
      </c>
      <c r="BG10" s="12">
        <v>56</v>
      </c>
      <c r="BH10" s="14">
        <v>784666.66666658001</v>
      </c>
      <c r="BI10" s="12">
        <f t="shared" si="42"/>
        <v>-18</v>
      </c>
      <c r="BJ10" s="14">
        <f t="shared" si="43"/>
        <v>-379238.09523808013</v>
      </c>
      <c r="BK10" s="13">
        <f t="shared" si="44"/>
        <v>-0.32583258325834136</v>
      </c>
      <c r="BM10" s="16"/>
      <c r="BN10" s="15" t="s">
        <v>7</v>
      </c>
      <c r="BO10" s="12">
        <v>63</v>
      </c>
      <c r="BP10" s="14">
        <v>1023047.61904754</v>
      </c>
      <c r="BQ10" s="12">
        <f t="shared" si="21"/>
        <v>7</v>
      </c>
      <c r="BR10" s="14">
        <f t="shared" si="22"/>
        <v>238380.95238095999</v>
      </c>
      <c r="BS10" s="13">
        <f t="shared" si="23"/>
        <v>0.30379900473362742</v>
      </c>
      <c r="BU10" s="16"/>
      <c r="BV10" s="15" t="s">
        <v>7</v>
      </c>
      <c r="BW10" s="12">
        <v>42</v>
      </c>
      <c r="BX10" s="14">
        <v>681714.2857141901</v>
      </c>
      <c r="BY10" s="12">
        <f t="shared" si="24"/>
        <v>-21</v>
      </c>
      <c r="BZ10" s="14">
        <f t="shared" si="25"/>
        <v>-341333.3333333499</v>
      </c>
      <c r="CA10" s="13">
        <f t="shared" si="26"/>
        <v>-0.33364364177997125</v>
      </c>
      <c r="CC10" s="16"/>
      <c r="CD10" s="15" t="s">
        <v>7</v>
      </c>
      <c r="CE10" s="12">
        <v>40</v>
      </c>
      <c r="CF10" s="14">
        <v>563809.52380946989</v>
      </c>
      <c r="CG10" s="12">
        <f t="shared" si="27"/>
        <v>-2</v>
      </c>
      <c r="CH10" s="14">
        <f t="shared" si="28"/>
        <v>-117904.76190472022</v>
      </c>
      <c r="CI10" s="13">
        <f t="shared" si="29"/>
        <v>-0.17295333892144957</v>
      </c>
      <c r="CK10" s="16"/>
      <c r="CL10" s="15" t="s">
        <v>7</v>
      </c>
      <c r="CM10" s="12">
        <v>78</v>
      </c>
      <c r="CN10" s="14">
        <v>1084952.38095229</v>
      </c>
      <c r="CO10" s="12">
        <f t="shared" si="30"/>
        <v>38</v>
      </c>
      <c r="CP10" s="14">
        <f t="shared" si="31"/>
        <v>521142.85714282014</v>
      </c>
      <c r="CQ10" s="13">
        <f t="shared" si="32"/>
        <v>0.92432432432434708</v>
      </c>
      <c r="CS10" s="16"/>
      <c r="CT10" s="15" t="s">
        <v>7</v>
      </c>
      <c r="CU10" s="12">
        <v>81</v>
      </c>
      <c r="CV10" s="14">
        <v>1156095.2380951401</v>
      </c>
      <c r="CW10" s="12">
        <f t="shared" si="33"/>
        <v>3</v>
      </c>
      <c r="CX10" s="14">
        <f t="shared" si="34"/>
        <v>71142.857142850058</v>
      </c>
      <c r="CY10" s="13">
        <f t="shared" si="35"/>
        <v>6.5572331460673122E-2</v>
      </c>
    </row>
    <row r="11" spans="1:103" s="12" customFormat="1" ht="20" customHeight="1">
      <c r="A11" s="16"/>
      <c r="B11" s="15" t="s">
        <v>6</v>
      </c>
      <c r="C11" s="12">
        <v>8</v>
      </c>
      <c r="D11" s="14">
        <v>22857.142857139999</v>
      </c>
      <c r="F11" s="14"/>
      <c r="G11" s="13"/>
      <c r="I11" s="16"/>
      <c r="J11" s="15" t="s">
        <v>6</v>
      </c>
      <c r="K11" s="12">
        <v>8</v>
      </c>
      <c r="L11" s="14">
        <v>34857.142857129998</v>
      </c>
      <c r="M11" s="12">
        <f t="shared" si="39"/>
        <v>0</v>
      </c>
      <c r="N11" s="14">
        <f t="shared" si="40"/>
        <v>11999.999999989999</v>
      </c>
      <c r="O11" s="13">
        <f t="shared" si="41"/>
        <v>0.5249999999996281</v>
      </c>
      <c r="Q11" s="16"/>
      <c r="R11" s="15" t="s">
        <v>6</v>
      </c>
      <c r="S11" s="12">
        <v>8</v>
      </c>
      <c r="T11" s="14">
        <v>22857.142857139999</v>
      </c>
      <c r="U11" s="12">
        <f t="shared" si="3"/>
        <v>0</v>
      </c>
      <c r="V11" s="14">
        <f t="shared" si="4"/>
        <v>-11999.999999989999</v>
      </c>
      <c r="W11" s="13">
        <f t="shared" si="5"/>
        <v>-0.34426229508180728</v>
      </c>
      <c r="Y11" s="16"/>
      <c r="Z11" s="15" t="s">
        <v>6</v>
      </c>
      <c r="AA11" s="12">
        <v>4</v>
      </c>
      <c r="AB11" s="14">
        <v>35428.571428559997</v>
      </c>
      <c r="AC11" s="12">
        <f t="shared" si="6"/>
        <v>-4</v>
      </c>
      <c r="AD11" s="14">
        <f t="shared" si="7"/>
        <v>12571.428571419998</v>
      </c>
      <c r="AE11" s="13">
        <f t="shared" si="8"/>
        <v>0.54999999999969362</v>
      </c>
      <c r="AG11" s="16"/>
      <c r="AH11" s="15" t="s">
        <v>6</v>
      </c>
      <c r="AI11" s="12">
        <v>1</v>
      </c>
      <c r="AJ11" s="14">
        <v>2857.1428571400002</v>
      </c>
      <c r="AK11" s="12">
        <f t="shared" si="9"/>
        <v>-3</v>
      </c>
      <c r="AL11" s="14">
        <f t="shared" si="10"/>
        <v>-32571.428571419998</v>
      </c>
      <c r="AM11" s="13">
        <f t="shared" si="11"/>
        <v>-0.91935483870973211</v>
      </c>
      <c r="AO11" s="16"/>
      <c r="AP11" s="15" t="s">
        <v>6</v>
      </c>
      <c r="AQ11" s="12">
        <v>6</v>
      </c>
      <c r="AR11" s="14">
        <v>23142.85714285</v>
      </c>
      <c r="AS11" s="12">
        <f t="shared" si="12"/>
        <v>5</v>
      </c>
      <c r="AT11" s="14">
        <f t="shared" si="13"/>
        <v>20285.714285710001</v>
      </c>
      <c r="AU11" s="13">
        <f t="shared" si="14"/>
        <v>7.1000000000055996</v>
      </c>
      <c r="AW11" s="16"/>
      <c r="AX11" s="15" t="s">
        <v>6</v>
      </c>
      <c r="AY11" s="12">
        <v>3</v>
      </c>
      <c r="AZ11" s="14">
        <v>8571.4285714200014</v>
      </c>
      <c r="BA11" s="12">
        <f t="shared" si="15"/>
        <v>-3</v>
      </c>
      <c r="BB11" s="14">
        <f t="shared" si="16"/>
        <v>-14571.428571429999</v>
      </c>
      <c r="BC11" s="13">
        <f t="shared" si="17"/>
        <v>-0.62962962962988567</v>
      </c>
      <c r="BE11" s="16"/>
      <c r="BF11" s="15" t="s">
        <v>6</v>
      </c>
      <c r="BG11" s="12">
        <v>1</v>
      </c>
      <c r="BH11" s="14">
        <v>2857.1428571400002</v>
      </c>
      <c r="BI11" s="12">
        <f t="shared" si="42"/>
        <v>-2</v>
      </c>
      <c r="BJ11" s="14">
        <f t="shared" si="43"/>
        <v>-5714.2857142800012</v>
      </c>
      <c r="BK11" s="13">
        <f t="shared" si="44"/>
        <v>-0.66666666666666674</v>
      </c>
      <c r="BM11" s="16"/>
      <c r="BN11" s="15" t="s">
        <v>6</v>
      </c>
      <c r="BO11" s="12">
        <v>6</v>
      </c>
      <c r="BP11" s="14">
        <v>25522.857142839996</v>
      </c>
      <c r="BQ11" s="12">
        <f t="shared" si="21"/>
        <v>5</v>
      </c>
      <c r="BR11" s="14">
        <f t="shared" si="22"/>
        <v>22665.714285699996</v>
      </c>
      <c r="BS11" s="13">
        <f t="shared" si="23"/>
        <v>7.9330000000029308</v>
      </c>
      <c r="BU11" s="16"/>
      <c r="BV11" s="15" t="s">
        <v>6</v>
      </c>
      <c r="BW11" s="12">
        <v>1</v>
      </c>
      <c r="BX11" s="14">
        <v>2657.1428571400002</v>
      </c>
      <c r="BY11" s="12">
        <f t="shared" si="24"/>
        <v>-5</v>
      </c>
      <c r="BZ11" s="14">
        <f t="shared" si="25"/>
        <v>-22865.714285699996</v>
      </c>
      <c r="CA11" s="13">
        <f t="shared" si="26"/>
        <v>-0.89589163774771918</v>
      </c>
      <c r="CC11" s="16"/>
      <c r="CD11" s="15" t="s">
        <v>6</v>
      </c>
      <c r="CE11" s="12">
        <v>0</v>
      </c>
      <c r="CF11" s="14">
        <v>0</v>
      </c>
      <c r="CG11" s="12">
        <f t="shared" si="27"/>
        <v>-1</v>
      </c>
      <c r="CH11" s="14">
        <f t="shared" si="28"/>
        <v>-2657.1428571400002</v>
      </c>
      <c r="CI11" s="13">
        <f t="shared" si="29"/>
        <v>-1</v>
      </c>
      <c r="CK11" s="16"/>
      <c r="CL11" s="15" t="s">
        <v>6</v>
      </c>
      <c r="CM11" s="12">
        <v>0</v>
      </c>
      <c r="CN11" s="14">
        <v>0</v>
      </c>
      <c r="CO11" s="12">
        <f t="shared" si="30"/>
        <v>0</v>
      </c>
      <c r="CP11" s="14">
        <f t="shared" si="31"/>
        <v>0</v>
      </c>
      <c r="CQ11" s="13" t="e">
        <f t="shared" si="32"/>
        <v>#DIV/0!</v>
      </c>
      <c r="CS11" s="16"/>
      <c r="CT11" s="15" t="s">
        <v>6</v>
      </c>
      <c r="CU11" s="12">
        <v>1</v>
      </c>
      <c r="CV11" s="14">
        <v>5237.1428571400002</v>
      </c>
      <c r="CW11" s="12">
        <f t="shared" si="33"/>
        <v>1</v>
      </c>
      <c r="CX11" s="14">
        <f t="shared" si="34"/>
        <v>5237.1428571400002</v>
      </c>
      <c r="CY11" s="13" t="e">
        <f t="shared" si="35"/>
        <v>#DIV/0!</v>
      </c>
    </row>
    <row r="12" spans="1:103" s="12" customFormat="1" ht="20" customHeight="1">
      <c r="A12" s="16"/>
      <c r="B12" s="15" t="s">
        <v>5</v>
      </c>
      <c r="C12" s="12">
        <v>12</v>
      </c>
      <c r="D12" s="14">
        <v>59380</v>
      </c>
      <c r="F12" s="14"/>
      <c r="G12" s="13"/>
      <c r="I12" s="16"/>
      <c r="J12" s="15" t="s">
        <v>5</v>
      </c>
      <c r="K12" s="12">
        <v>8</v>
      </c>
      <c r="L12" s="14">
        <v>27320</v>
      </c>
      <c r="M12" s="12">
        <f t="shared" si="39"/>
        <v>-4</v>
      </c>
      <c r="N12" s="14">
        <f t="shared" si="40"/>
        <v>-32060</v>
      </c>
      <c r="O12" s="13">
        <f t="shared" si="41"/>
        <v>-0.53991242842707987</v>
      </c>
      <c r="Q12" s="16"/>
      <c r="R12" s="15" t="s">
        <v>5</v>
      </c>
      <c r="S12" s="12">
        <v>19</v>
      </c>
      <c r="T12" s="14">
        <v>108810</v>
      </c>
      <c r="U12" s="12">
        <f t="shared" si="3"/>
        <v>11</v>
      </c>
      <c r="V12" s="14">
        <f t="shared" si="4"/>
        <v>81490</v>
      </c>
      <c r="W12" s="13">
        <f t="shared" si="5"/>
        <v>2.9827964860907761</v>
      </c>
      <c r="Y12" s="16"/>
      <c r="Z12" s="15" t="s">
        <v>5</v>
      </c>
      <c r="AA12" s="12">
        <v>15</v>
      </c>
      <c r="AB12" s="14">
        <v>70970</v>
      </c>
      <c r="AC12" s="12">
        <f t="shared" si="6"/>
        <v>-4</v>
      </c>
      <c r="AD12" s="14">
        <f t="shared" si="7"/>
        <v>-37840</v>
      </c>
      <c r="AE12" s="13">
        <f t="shared" si="8"/>
        <v>-0.34776215421376711</v>
      </c>
      <c r="AG12" s="16"/>
      <c r="AH12" s="15" t="s">
        <v>5</v>
      </c>
      <c r="AI12" s="12">
        <v>10</v>
      </c>
      <c r="AJ12" s="14">
        <v>63900</v>
      </c>
      <c r="AK12" s="12">
        <f t="shared" si="9"/>
        <v>-5</v>
      </c>
      <c r="AL12" s="14">
        <f t="shared" si="10"/>
        <v>-7070</v>
      </c>
      <c r="AM12" s="13">
        <f t="shared" si="11"/>
        <v>-9.9619557559532196E-2</v>
      </c>
      <c r="AO12" s="16"/>
      <c r="AP12" s="15" t="s">
        <v>5</v>
      </c>
      <c r="AQ12" s="12">
        <v>17</v>
      </c>
      <c r="AR12" s="14">
        <v>86930</v>
      </c>
      <c r="AS12" s="12">
        <f t="shared" si="12"/>
        <v>7</v>
      </c>
      <c r="AT12" s="14">
        <f t="shared" si="13"/>
        <v>23030</v>
      </c>
      <c r="AU12" s="13">
        <f t="shared" si="14"/>
        <v>0.36040688575899843</v>
      </c>
      <c r="AW12" s="16"/>
      <c r="AX12" s="15" t="s">
        <v>5</v>
      </c>
      <c r="AY12" s="12">
        <v>15</v>
      </c>
      <c r="AZ12" s="14">
        <v>70450</v>
      </c>
      <c r="BA12" s="12">
        <f t="shared" si="15"/>
        <v>-2</v>
      </c>
      <c r="BB12" s="14">
        <f t="shared" si="16"/>
        <v>-16480</v>
      </c>
      <c r="BC12" s="13">
        <f t="shared" si="17"/>
        <v>-0.18957782123547681</v>
      </c>
      <c r="BE12" s="16"/>
      <c r="BF12" s="15" t="s">
        <v>5</v>
      </c>
      <c r="BG12" s="12">
        <v>10</v>
      </c>
      <c r="BH12" s="14">
        <v>56600</v>
      </c>
      <c r="BI12" s="12">
        <f t="shared" si="42"/>
        <v>-5</v>
      </c>
      <c r="BJ12" s="14">
        <f t="shared" si="43"/>
        <v>-13850</v>
      </c>
      <c r="BK12" s="13">
        <f t="shared" si="44"/>
        <v>-0.19659332860184528</v>
      </c>
      <c r="BM12" s="16"/>
      <c r="BN12" s="15" t="s">
        <v>5</v>
      </c>
      <c r="BO12" s="12">
        <v>17</v>
      </c>
      <c r="BP12" s="14">
        <v>92130</v>
      </c>
      <c r="BQ12" s="12">
        <f t="shared" si="21"/>
        <v>7</v>
      </c>
      <c r="BR12" s="14">
        <f t="shared" si="22"/>
        <v>35530</v>
      </c>
      <c r="BS12" s="13">
        <f t="shared" si="23"/>
        <v>0.62773851590106011</v>
      </c>
      <c r="BU12" s="16"/>
      <c r="BV12" s="15" t="s">
        <v>5</v>
      </c>
      <c r="BW12" s="12">
        <v>6</v>
      </c>
      <c r="BX12" s="14">
        <v>32540</v>
      </c>
      <c r="BY12" s="12">
        <f t="shared" si="24"/>
        <v>-11</v>
      </c>
      <c r="BZ12" s="14">
        <f t="shared" si="25"/>
        <v>-59590</v>
      </c>
      <c r="CA12" s="13">
        <f t="shared" si="26"/>
        <v>-0.64680342993596007</v>
      </c>
      <c r="CC12" s="16"/>
      <c r="CD12" s="15" t="s">
        <v>5</v>
      </c>
      <c r="CE12" s="12">
        <v>7</v>
      </c>
      <c r="CF12" s="14">
        <v>43230</v>
      </c>
      <c r="CG12" s="12">
        <f t="shared" si="27"/>
        <v>1</v>
      </c>
      <c r="CH12" s="14">
        <f t="shared" si="28"/>
        <v>10690</v>
      </c>
      <c r="CI12" s="13">
        <f t="shared" si="29"/>
        <v>0.32851874615857407</v>
      </c>
      <c r="CK12" s="16"/>
      <c r="CL12" s="15" t="s">
        <v>5</v>
      </c>
      <c r="CM12" s="12">
        <v>7</v>
      </c>
      <c r="CN12" s="14">
        <v>32030</v>
      </c>
      <c r="CO12" s="12">
        <f t="shared" si="30"/>
        <v>0</v>
      </c>
      <c r="CP12" s="14">
        <f t="shared" si="31"/>
        <v>-11200</v>
      </c>
      <c r="CQ12" s="13">
        <f t="shared" si="32"/>
        <v>-0.2590793430488087</v>
      </c>
      <c r="CS12" s="16"/>
      <c r="CT12" s="15" t="s">
        <v>5</v>
      </c>
      <c r="CU12" s="12">
        <v>6</v>
      </c>
      <c r="CV12" s="14">
        <v>29240</v>
      </c>
      <c r="CW12" s="12">
        <f t="shared" si="33"/>
        <v>-1</v>
      </c>
      <c r="CX12" s="14">
        <f t="shared" si="34"/>
        <v>-2790</v>
      </c>
      <c r="CY12" s="13">
        <f t="shared" si="35"/>
        <v>-8.710583827661568E-2</v>
      </c>
    </row>
    <row r="13" spans="1:103" s="12" customFormat="1" ht="20" customHeight="1">
      <c r="A13" s="16"/>
      <c r="B13" s="15" t="s">
        <v>4</v>
      </c>
      <c r="C13" s="12">
        <v>10</v>
      </c>
      <c r="D13" s="14">
        <v>455623.80952377</v>
      </c>
      <c r="F13" s="14"/>
      <c r="G13" s="13"/>
      <c r="I13" s="16"/>
      <c r="J13" s="15" t="s">
        <v>4</v>
      </c>
      <c r="K13" s="12">
        <v>46</v>
      </c>
      <c r="L13" s="14">
        <v>1833147.61904752</v>
      </c>
      <c r="M13" s="12">
        <f t="shared" si="39"/>
        <v>36</v>
      </c>
      <c r="N13" s="14">
        <f t="shared" si="40"/>
        <v>1377523.8095237501</v>
      </c>
      <c r="O13" s="13">
        <f t="shared" si="41"/>
        <v>3.0233797723687315</v>
      </c>
      <c r="Q13" s="16"/>
      <c r="R13" s="15" t="s">
        <v>4</v>
      </c>
      <c r="S13" s="12">
        <v>63</v>
      </c>
      <c r="T13" s="14">
        <v>2555114.2857141597</v>
      </c>
      <c r="U13" s="12">
        <f t="shared" si="3"/>
        <v>17</v>
      </c>
      <c r="V13" s="14">
        <f t="shared" si="4"/>
        <v>721966.66666663974</v>
      </c>
      <c r="W13" s="13">
        <f t="shared" si="5"/>
        <v>0.39383989546993731</v>
      </c>
      <c r="Y13" s="16"/>
      <c r="Z13" s="15" t="s">
        <v>4</v>
      </c>
      <c r="AA13" s="12">
        <v>52</v>
      </c>
      <c r="AB13" s="14">
        <v>2095104.7619046599</v>
      </c>
      <c r="AC13" s="12">
        <f t="shared" si="6"/>
        <v>-11</v>
      </c>
      <c r="AD13" s="14">
        <f t="shared" si="7"/>
        <v>-460009.52380949981</v>
      </c>
      <c r="AE13" s="13">
        <f t="shared" si="8"/>
        <v>-0.1800348134646847</v>
      </c>
      <c r="AG13" s="16"/>
      <c r="AH13" s="15" t="s">
        <v>4</v>
      </c>
      <c r="AI13" s="12">
        <v>28</v>
      </c>
      <c r="AJ13" s="14">
        <v>1082242.8571428</v>
      </c>
      <c r="AK13" s="12">
        <f t="shared" si="9"/>
        <v>-24</v>
      </c>
      <c r="AL13" s="14">
        <f t="shared" si="10"/>
        <v>-1012861.9047618599</v>
      </c>
      <c r="AM13" s="13">
        <f t="shared" si="11"/>
        <v>-0.48344212813542892</v>
      </c>
      <c r="AO13" s="16"/>
      <c r="AP13" s="15" t="s">
        <v>4</v>
      </c>
      <c r="AQ13" s="12">
        <v>22</v>
      </c>
      <c r="AR13" s="14">
        <v>773723.80952375999</v>
      </c>
      <c r="AS13" s="12">
        <f t="shared" si="12"/>
        <v>-6</v>
      </c>
      <c r="AT13" s="14">
        <f t="shared" si="13"/>
        <v>-308519.04761904001</v>
      </c>
      <c r="AU13" s="13">
        <f t="shared" si="14"/>
        <v>-0.28507376656063388</v>
      </c>
      <c r="AW13" s="16"/>
      <c r="AX13" s="15" t="s">
        <v>4</v>
      </c>
      <c r="AY13" s="12">
        <v>16</v>
      </c>
      <c r="AZ13" s="14">
        <v>578957.14285712002</v>
      </c>
      <c r="BA13" s="12">
        <f t="shared" si="15"/>
        <v>-6</v>
      </c>
      <c r="BB13" s="14">
        <f t="shared" si="16"/>
        <v>-194766.66666663997</v>
      </c>
      <c r="BC13" s="13">
        <f t="shared" si="17"/>
        <v>-0.25172634507205111</v>
      </c>
      <c r="BE13" s="16"/>
      <c r="BF13" s="15" t="s">
        <v>4</v>
      </c>
      <c r="BG13" s="12">
        <v>15</v>
      </c>
      <c r="BH13" s="14">
        <v>600719.04761899996</v>
      </c>
      <c r="BI13" s="12">
        <f t="shared" si="42"/>
        <v>-1</v>
      </c>
      <c r="BJ13" s="14">
        <f t="shared" si="43"/>
        <v>21761.904761879938</v>
      </c>
      <c r="BK13" s="13">
        <f t="shared" si="44"/>
        <v>3.7588109984248913E-2</v>
      </c>
      <c r="BM13" s="16"/>
      <c r="BN13" s="15" t="s">
        <v>4</v>
      </c>
      <c r="BO13" s="12">
        <v>10</v>
      </c>
      <c r="BP13" s="14">
        <v>319052.38095237</v>
      </c>
      <c r="BQ13" s="12">
        <f t="shared" si="21"/>
        <v>-5</v>
      </c>
      <c r="BR13" s="14">
        <f t="shared" si="22"/>
        <v>-281666.66666662996</v>
      </c>
      <c r="BS13" s="13">
        <f t="shared" si="23"/>
        <v>-0.46888252966680394</v>
      </c>
      <c r="BU13" s="16"/>
      <c r="BV13" s="15" t="s">
        <v>4</v>
      </c>
      <c r="BW13" s="12">
        <v>30</v>
      </c>
      <c r="BX13" s="14">
        <v>1284623.8095237501</v>
      </c>
      <c r="BY13" s="12">
        <f t="shared" si="24"/>
        <v>20</v>
      </c>
      <c r="BZ13" s="14">
        <f t="shared" si="25"/>
        <v>965571.42857138009</v>
      </c>
      <c r="CA13" s="13">
        <f t="shared" si="26"/>
        <v>3.0263727407053147</v>
      </c>
      <c r="CC13" s="16"/>
      <c r="CD13" s="15" t="s">
        <v>4</v>
      </c>
      <c r="CE13" s="12">
        <v>14</v>
      </c>
      <c r="CF13" s="14">
        <v>641538.09523804998</v>
      </c>
      <c r="CG13" s="12">
        <f t="shared" si="27"/>
        <v>-16</v>
      </c>
      <c r="CH13" s="14">
        <f t="shared" si="28"/>
        <v>-643085.71428570012</v>
      </c>
      <c r="CI13" s="13">
        <f t="shared" si="29"/>
        <v>-0.50060236274471037</v>
      </c>
      <c r="CK13" s="16"/>
      <c r="CL13" s="15" t="s">
        <v>4</v>
      </c>
      <c r="CM13" s="12">
        <v>27</v>
      </c>
      <c r="CN13" s="14">
        <v>1042190.47619042</v>
      </c>
      <c r="CO13" s="12">
        <f t="shared" si="30"/>
        <v>13</v>
      </c>
      <c r="CP13" s="14">
        <f t="shared" si="31"/>
        <v>400652.38095237</v>
      </c>
      <c r="CQ13" s="13">
        <f t="shared" si="32"/>
        <v>0.62451845638832004</v>
      </c>
      <c r="CS13" s="16"/>
      <c r="CT13" s="15" t="s">
        <v>4</v>
      </c>
      <c r="CU13" s="12">
        <v>19</v>
      </c>
      <c r="CV13" s="14">
        <v>848676.19047616003</v>
      </c>
      <c r="CW13" s="12">
        <f t="shared" si="33"/>
        <v>-8</v>
      </c>
      <c r="CX13" s="14">
        <f t="shared" si="34"/>
        <v>-193514.28571425995</v>
      </c>
      <c r="CY13" s="13">
        <f t="shared" si="35"/>
        <v>-0.18568034359863284</v>
      </c>
    </row>
    <row r="14" spans="1:103" s="12" customFormat="1" ht="20" customHeight="1">
      <c r="A14" s="16"/>
      <c r="B14" s="15" t="s">
        <v>3</v>
      </c>
      <c r="C14" s="12">
        <v>50</v>
      </c>
      <c r="D14" s="14">
        <v>830095.23809518002</v>
      </c>
      <c r="F14" s="14"/>
      <c r="G14" s="13"/>
      <c r="I14" s="16"/>
      <c r="J14" s="15" t="s">
        <v>3</v>
      </c>
      <c r="K14" s="12">
        <v>103</v>
      </c>
      <c r="L14" s="14">
        <v>1778285.71428558</v>
      </c>
      <c r="M14" s="12">
        <f t="shared" si="39"/>
        <v>53</v>
      </c>
      <c r="N14" s="14">
        <f t="shared" si="40"/>
        <v>948190.47619039996</v>
      </c>
      <c r="O14" s="13">
        <f t="shared" si="41"/>
        <v>1.1422670949976934</v>
      </c>
      <c r="Q14" s="16"/>
      <c r="R14" s="15" t="s">
        <v>3</v>
      </c>
      <c r="S14" s="12">
        <v>202</v>
      </c>
      <c r="T14" s="14">
        <v>3525047.6190474406</v>
      </c>
      <c r="U14" s="12">
        <f t="shared" si="3"/>
        <v>99</v>
      </c>
      <c r="V14" s="14">
        <f t="shared" si="4"/>
        <v>1746761.9047618606</v>
      </c>
      <c r="W14" s="13">
        <f t="shared" si="5"/>
        <v>0.98227292202232874</v>
      </c>
      <c r="Y14" s="16"/>
      <c r="Z14" s="15" t="s">
        <v>3</v>
      </c>
      <c r="AA14" s="12">
        <v>139</v>
      </c>
      <c r="AB14" s="14">
        <v>2662952.3809522502</v>
      </c>
      <c r="AC14" s="12">
        <f t="shared" si="6"/>
        <v>-63</v>
      </c>
      <c r="AD14" s="14">
        <f t="shared" si="7"/>
        <v>-862095.23809519038</v>
      </c>
      <c r="AE14" s="13">
        <f t="shared" si="8"/>
        <v>-0.24456272120606157</v>
      </c>
      <c r="AG14" s="16"/>
      <c r="AH14" s="15" t="s">
        <v>3</v>
      </c>
      <c r="AI14" s="12">
        <v>58</v>
      </c>
      <c r="AJ14" s="14">
        <v>1008190.4761904</v>
      </c>
      <c r="AK14" s="12">
        <f t="shared" si="9"/>
        <v>-81</v>
      </c>
      <c r="AL14" s="14">
        <f t="shared" si="10"/>
        <v>-1654761.9047618504</v>
      </c>
      <c r="AM14" s="13">
        <f t="shared" si="11"/>
        <v>-0.62140123743787001</v>
      </c>
      <c r="AO14" s="16"/>
      <c r="AP14" s="15" t="s">
        <v>3</v>
      </c>
      <c r="AQ14" s="12">
        <v>62</v>
      </c>
      <c r="AR14" s="14">
        <v>1079761.9047618099</v>
      </c>
      <c r="AS14" s="12">
        <f t="shared" si="12"/>
        <v>4</v>
      </c>
      <c r="AT14" s="14">
        <f t="shared" si="13"/>
        <v>71571.428571409895</v>
      </c>
      <c r="AU14" s="13">
        <f t="shared" si="14"/>
        <v>7.0989986774972674E-2</v>
      </c>
      <c r="AW14" s="16"/>
      <c r="AX14" s="15" t="s">
        <v>3</v>
      </c>
      <c r="AY14" s="12">
        <v>50</v>
      </c>
      <c r="AZ14" s="14">
        <v>871904.76190468017</v>
      </c>
      <c r="BA14" s="12">
        <f t="shared" si="15"/>
        <v>-12</v>
      </c>
      <c r="BB14" s="14">
        <f t="shared" si="16"/>
        <v>-207857.14285712969</v>
      </c>
      <c r="BC14" s="13">
        <f t="shared" si="17"/>
        <v>-0.19250275633958575</v>
      </c>
      <c r="BE14" s="16"/>
      <c r="BF14" s="15" t="s">
        <v>3</v>
      </c>
      <c r="BG14" s="12">
        <v>46</v>
      </c>
      <c r="BH14" s="14">
        <v>683952.38095230004</v>
      </c>
      <c r="BI14" s="12">
        <f t="shared" si="42"/>
        <v>-4</v>
      </c>
      <c r="BJ14" s="14">
        <f t="shared" si="43"/>
        <v>-187952.38095238013</v>
      </c>
      <c r="BK14" s="13">
        <f t="shared" si="44"/>
        <v>-0.21556526488259709</v>
      </c>
      <c r="BM14" s="16"/>
      <c r="BN14" s="15" t="s">
        <v>3</v>
      </c>
      <c r="BO14" s="12">
        <v>53</v>
      </c>
      <c r="BP14" s="14">
        <v>1137380.9523808502</v>
      </c>
      <c r="BQ14" s="12">
        <f t="shared" si="21"/>
        <v>7</v>
      </c>
      <c r="BR14" s="14">
        <f t="shared" si="22"/>
        <v>453428.57142855017</v>
      </c>
      <c r="BS14" s="13">
        <f t="shared" si="23"/>
        <v>0.66295342198709739</v>
      </c>
      <c r="BU14" s="16"/>
      <c r="BV14" s="15" t="s">
        <v>3</v>
      </c>
      <c r="BW14" s="12">
        <v>71</v>
      </c>
      <c r="BX14" s="14">
        <v>1444952.38095225</v>
      </c>
      <c r="BY14" s="12">
        <f t="shared" si="24"/>
        <v>18</v>
      </c>
      <c r="BZ14" s="14">
        <f t="shared" si="25"/>
        <v>307571.42857139977</v>
      </c>
      <c r="CA14" s="13">
        <f t="shared" si="26"/>
        <v>0.27042076617123617</v>
      </c>
      <c r="CC14" s="16"/>
      <c r="CD14" s="15" t="s">
        <v>3</v>
      </c>
      <c r="CE14" s="12">
        <v>56</v>
      </c>
      <c r="CF14" s="14">
        <v>1187238.0952380102</v>
      </c>
      <c r="CG14" s="12">
        <f t="shared" si="27"/>
        <v>-15</v>
      </c>
      <c r="CH14" s="14">
        <f t="shared" si="28"/>
        <v>-257714.28571423981</v>
      </c>
      <c r="CI14" s="13">
        <f t="shared" si="29"/>
        <v>-0.17835486422355412</v>
      </c>
      <c r="CK14" s="16"/>
      <c r="CL14" s="15" t="s">
        <v>3</v>
      </c>
      <c r="CM14" s="12">
        <v>56</v>
      </c>
      <c r="CN14" s="14">
        <v>962571.42857135017</v>
      </c>
      <c r="CO14" s="12">
        <f t="shared" si="30"/>
        <v>0</v>
      </c>
      <c r="CP14" s="14">
        <f t="shared" si="31"/>
        <v>-224666.66666665999</v>
      </c>
      <c r="CQ14" s="13">
        <f t="shared" si="32"/>
        <v>-0.1892347184341488</v>
      </c>
      <c r="CS14" s="16"/>
      <c r="CT14" s="15" t="s">
        <v>3</v>
      </c>
      <c r="CU14" s="12">
        <v>67</v>
      </c>
      <c r="CV14" s="14">
        <v>1282380.9523808304</v>
      </c>
      <c r="CW14" s="12">
        <f t="shared" si="33"/>
        <v>11</v>
      </c>
      <c r="CX14" s="14">
        <f t="shared" si="34"/>
        <v>319809.52380948025</v>
      </c>
      <c r="CY14" s="13">
        <f t="shared" si="35"/>
        <v>0.33224497872759634</v>
      </c>
    </row>
    <row r="15" spans="1:103" s="12" customFormat="1" ht="20" customHeight="1">
      <c r="A15" s="16"/>
      <c r="B15" s="15" t="s">
        <v>2</v>
      </c>
      <c r="C15" s="12">
        <v>208</v>
      </c>
      <c r="D15" s="14">
        <v>9184952.3809522614</v>
      </c>
      <c r="F15" s="14"/>
      <c r="G15" s="13"/>
      <c r="I15" s="16"/>
      <c r="J15" s="15" t="s">
        <v>2</v>
      </c>
      <c r="K15" s="12">
        <v>116</v>
      </c>
      <c r="L15" s="14">
        <v>4514433.3333332296</v>
      </c>
      <c r="M15" s="12">
        <f t="shared" si="39"/>
        <v>-92</v>
      </c>
      <c r="N15" s="14">
        <f t="shared" si="40"/>
        <v>-4670519.0476190317</v>
      </c>
      <c r="O15" s="13">
        <f t="shared" si="41"/>
        <v>-0.50849681673959968</v>
      </c>
      <c r="Q15" s="16"/>
      <c r="R15" s="15" t="s">
        <v>2</v>
      </c>
      <c r="S15" s="12">
        <v>601</v>
      </c>
      <c r="T15" s="14">
        <v>24417052.380952246</v>
      </c>
      <c r="U15" s="12">
        <f t="shared" si="3"/>
        <v>485</v>
      </c>
      <c r="V15" s="14">
        <f t="shared" si="4"/>
        <v>19902619.047619015</v>
      </c>
      <c r="W15" s="13">
        <f t="shared" si="5"/>
        <v>4.4086638517095844</v>
      </c>
      <c r="Y15" s="16"/>
      <c r="Z15" s="15" t="s">
        <v>2</v>
      </c>
      <c r="AA15" s="12">
        <v>453</v>
      </c>
      <c r="AB15" s="14">
        <v>17007333.333333187</v>
      </c>
      <c r="AC15" s="12">
        <f t="shared" si="6"/>
        <v>-148</v>
      </c>
      <c r="AD15" s="14">
        <f t="shared" si="7"/>
        <v>-7409719.0476190597</v>
      </c>
      <c r="AE15" s="13">
        <f t="shared" si="8"/>
        <v>-0.30346492819908866</v>
      </c>
      <c r="AG15" s="16"/>
      <c r="AH15" s="15" t="s">
        <v>2</v>
      </c>
      <c r="AI15" s="12">
        <v>451</v>
      </c>
      <c r="AJ15" s="14">
        <v>18017523.809523731</v>
      </c>
      <c r="AK15" s="12">
        <f t="shared" si="9"/>
        <v>-2</v>
      </c>
      <c r="AL15" s="14">
        <f t="shared" si="10"/>
        <v>1010190.4761905447</v>
      </c>
      <c r="AM15" s="13">
        <f t="shared" si="11"/>
        <v>5.9397346802784294E-2</v>
      </c>
      <c r="AO15" s="16"/>
      <c r="AP15" s="15" t="s">
        <v>2</v>
      </c>
      <c r="AQ15" s="12">
        <v>404</v>
      </c>
      <c r="AR15" s="14">
        <v>15835279.04761895</v>
      </c>
      <c r="AS15" s="12">
        <f t="shared" si="12"/>
        <v>-47</v>
      </c>
      <c r="AT15" s="14">
        <f t="shared" si="13"/>
        <v>-2182244.7619047817</v>
      </c>
      <c r="AU15" s="13">
        <f t="shared" si="14"/>
        <v>-0.12111790637686225</v>
      </c>
      <c r="AW15" s="16"/>
      <c r="AX15" s="15" t="s">
        <v>2</v>
      </c>
      <c r="AY15" s="12">
        <v>260</v>
      </c>
      <c r="AZ15" s="14">
        <v>9784285.71428564</v>
      </c>
      <c r="BA15" s="12">
        <f t="shared" si="15"/>
        <v>-144</v>
      </c>
      <c r="BB15" s="14">
        <f t="shared" si="16"/>
        <v>-6050993.3333333097</v>
      </c>
      <c r="BC15" s="13">
        <f t="shared" si="17"/>
        <v>-0.38212104220816739</v>
      </c>
      <c r="BE15" s="16"/>
      <c r="BF15" s="15" t="s">
        <v>2</v>
      </c>
      <c r="BG15" s="12">
        <v>255</v>
      </c>
      <c r="BH15" s="14">
        <v>9620359.047618961</v>
      </c>
      <c r="BI15" s="12">
        <f t="shared" si="42"/>
        <v>-5</v>
      </c>
      <c r="BJ15" s="14">
        <f t="shared" si="43"/>
        <v>-163926.66666667908</v>
      </c>
      <c r="BK15" s="13">
        <f t="shared" si="44"/>
        <v>-1.6754076020831687E-2</v>
      </c>
      <c r="BM15" s="16"/>
      <c r="BN15" s="15" t="s">
        <v>2</v>
      </c>
      <c r="BO15" s="12">
        <v>192</v>
      </c>
      <c r="BP15" s="14">
        <v>7325226.6666666102</v>
      </c>
      <c r="BQ15" s="12">
        <f t="shared" si="21"/>
        <v>-63</v>
      </c>
      <c r="BR15" s="14">
        <f t="shared" si="22"/>
        <v>-2295132.3809523508</v>
      </c>
      <c r="BS15" s="13">
        <f t="shared" si="23"/>
        <v>-0.23857034540934272</v>
      </c>
      <c r="BU15" s="16"/>
      <c r="BV15" s="15" t="s">
        <v>2</v>
      </c>
      <c r="BW15" s="12">
        <v>231</v>
      </c>
      <c r="BX15" s="14">
        <v>8895390.4761903901</v>
      </c>
      <c r="BY15" s="12">
        <f t="shared" si="24"/>
        <v>39</v>
      </c>
      <c r="BZ15" s="14">
        <f t="shared" si="25"/>
        <v>1570163.8095237799</v>
      </c>
      <c r="CA15" s="13">
        <f t="shared" si="26"/>
        <v>0.21435020115743295</v>
      </c>
      <c r="CC15" s="16"/>
      <c r="CD15" s="15" t="s">
        <v>2</v>
      </c>
      <c r="CE15" s="12">
        <v>224</v>
      </c>
      <c r="CF15" s="14">
        <v>8576784.7619046718</v>
      </c>
      <c r="CG15" s="12">
        <f t="shared" si="27"/>
        <v>-7</v>
      </c>
      <c r="CH15" s="14">
        <f t="shared" si="28"/>
        <v>-318605.71428571828</v>
      </c>
      <c r="CI15" s="13">
        <f t="shared" si="29"/>
        <v>-3.5816945319995311E-2</v>
      </c>
      <c r="CK15" s="16"/>
      <c r="CL15" s="15" t="s">
        <v>2</v>
      </c>
      <c r="CM15" s="12">
        <v>124</v>
      </c>
      <c r="CN15" s="14">
        <v>4699253.3333332594</v>
      </c>
      <c r="CO15" s="12">
        <f t="shared" si="30"/>
        <v>-100</v>
      </c>
      <c r="CP15" s="14">
        <f t="shared" si="31"/>
        <v>-3877531.4285714123</v>
      </c>
      <c r="CQ15" s="13">
        <f t="shared" si="32"/>
        <v>-0.45209615680157483</v>
      </c>
      <c r="CS15" s="16"/>
      <c r="CT15" s="15" t="s">
        <v>2</v>
      </c>
      <c r="CU15" s="12">
        <v>177</v>
      </c>
      <c r="CV15" s="14">
        <v>6594205.71428564</v>
      </c>
      <c r="CW15" s="12">
        <f t="shared" si="33"/>
        <v>53</v>
      </c>
      <c r="CX15" s="14">
        <f t="shared" si="34"/>
        <v>1894952.3809523806</v>
      </c>
      <c r="CY15" s="13">
        <f t="shared" si="35"/>
        <v>0.40324541933308777</v>
      </c>
    </row>
    <row r="16" spans="1:103" s="1" customFormat="1" ht="20" customHeight="1">
      <c r="A16" s="11" t="s">
        <v>26</v>
      </c>
      <c r="B16" s="11"/>
      <c r="C16" s="10">
        <v>1193</v>
      </c>
      <c r="D16" s="9">
        <v>13206510.476188861</v>
      </c>
      <c r="E16" s="29"/>
      <c r="F16" s="30"/>
      <c r="G16" s="31"/>
      <c r="I16" s="11" t="s">
        <v>26</v>
      </c>
      <c r="J16" s="11"/>
      <c r="K16" s="10">
        <v>1149</v>
      </c>
      <c r="L16" s="9">
        <v>11814790.476188749</v>
      </c>
      <c r="M16" s="10">
        <f t="shared" si="39"/>
        <v>-44</v>
      </c>
      <c r="N16" s="9">
        <f t="shared" si="40"/>
        <v>-1391720.0000001118</v>
      </c>
      <c r="O16" s="8">
        <f t="shared" si="41"/>
        <v>-0.10538135736229202</v>
      </c>
      <c r="Q16" s="11" t="s">
        <v>26</v>
      </c>
      <c r="R16" s="11"/>
      <c r="S16" s="10">
        <v>1979</v>
      </c>
      <c r="T16" s="9">
        <v>33960910.95237878</v>
      </c>
      <c r="U16" s="10">
        <f t="shared" si="3"/>
        <v>830</v>
      </c>
      <c r="V16" s="9">
        <f t="shared" si="4"/>
        <v>22146120.476190031</v>
      </c>
      <c r="W16" s="8">
        <f t="shared" si="5"/>
        <v>1.874440390696966</v>
      </c>
      <c r="Y16" s="11" t="s">
        <v>26</v>
      </c>
      <c r="Z16" s="11"/>
      <c r="AA16" s="10">
        <v>1741</v>
      </c>
      <c r="AB16" s="9">
        <v>25276144.285712086</v>
      </c>
      <c r="AC16" s="10">
        <f t="shared" si="6"/>
        <v>-238</v>
      </c>
      <c r="AD16" s="9">
        <f t="shared" si="7"/>
        <v>-8684766.666666694</v>
      </c>
      <c r="AE16" s="8">
        <f t="shared" si="8"/>
        <v>-0.2557283189147897</v>
      </c>
      <c r="AG16" s="11" t="s">
        <v>26</v>
      </c>
      <c r="AH16" s="11"/>
      <c r="AI16" s="10">
        <v>1363</v>
      </c>
      <c r="AJ16" s="9">
        <v>22609127.619046021</v>
      </c>
      <c r="AK16" s="10">
        <f t="shared" si="9"/>
        <v>-378</v>
      </c>
      <c r="AL16" s="9">
        <f t="shared" si="10"/>
        <v>-2667016.6666660644</v>
      </c>
      <c r="AM16" s="8">
        <f t="shared" si="11"/>
        <v>-0.10551517021421879</v>
      </c>
      <c r="AO16" s="11" t="s">
        <v>26</v>
      </c>
      <c r="AP16" s="11"/>
      <c r="AQ16" s="10">
        <v>1305</v>
      </c>
      <c r="AR16" s="9">
        <v>19654100.476188928</v>
      </c>
      <c r="AS16" s="10">
        <f t="shared" si="12"/>
        <v>-58</v>
      </c>
      <c r="AT16" s="9">
        <f t="shared" si="13"/>
        <v>-2955027.1428570934</v>
      </c>
      <c r="AU16" s="8">
        <f t="shared" si="14"/>
        <v>-0.13070062643052915</v>
      </c>
      <c r="AW16" s="11" t="s">
        <v>26</v>
      </c>
      <c r="AX16" s="11"/>
      <c r="AY16" s="10">
        <v>1090</v>
      </c>
      <c r="AZ16" s="9">
        <v>13468171.904760391</v>
      </c>
      <c r="BA16" s="10">
        <f t="shared" si="15"/>
        <v>-215</v>
      </c>
      <c r="BB16" s="9">
        <f t="shared" si="16"/>
        <v>-6185928.5714285374</v>
      </c>
      <c r="BC16" s="8">
        <f t="shared" si="17"/>
        <v>-0.31473984672678512</v>
      </c>
      <c r="BE16" s="11" t="s">
        <v>26</v>
      </c>
      <c r="BF16" s="11"/>
      <c r="BG16" s="10">
        <v>1202</v>
      </c>
      <c r="BH16" s="9">
        <v>13779574.285712851</v>
      </c>
      <c r="BI16" s="29">
        <f t="shared" si="42"/>
        <v>112</v>
      </c>
      <c r="BJ16" s="30">
        <f t="shared" si="43"/>
        <v>311402.38095246069</v>
      </c>
      <c r="BK16" s="31">
        <f t="shared" si="44"/>
        <v>2.3121354787756607E-2</v>
      </c>
      <c r="BM16" s="11" t="s">
        <v>26</v>
      </c>
      <c r="BN16" s="11"/>
      <c r="BO16" s="10">
        <v>1047</v>
      </c>
      <c r="BP16" s="9">
        <v>11163983.33333195</v>
      </c>
      <c r="BQ16" s="29">
        <f t="shared" si="21"/>
        <v>-155</v>
      </c>
      <c r="BR16" s="30">
        <f t="shared" si="22"/>
        <v>-2615590.9523809012</v>
      </c>
      <c r="BS16" s="31">
        <f t="shared" si="23"/>
        <v>-0.18981652830108389</v>
      </c>
      <c r="BU16" s="11" t="s">
        <v>26</v>
      </c>
      <c r="BV16" s="11"/>
      <c r="BW16" s="10">
        <v>1085</v>
      </c>
      <c r="BX16" s="9">
        <v>13819249.523807989</v>
      </c>
      <c r="BY16" s="29">
        <f t="shared" si="24"/>
        <v>38</v>
      </c>
      <c r="BZ16" s="30">
        <f t="shared" si="25"/>
        <v>2655266.1904760394</v>
      </c>
      <c r="CA16" s="31">
        <f t="shared" si="26"/>
        <v>0.23784218510505079</v>
      </c>
      <c r="CC16" s="11" t="s">
        <v>26</v>
      </c>
      <c r="CD16" s="11"/>
      <c r="CE16" s="10">
        <v>1079</v>
      </c>
      <c r="CF16" s="9">
        <v>12687705.238093801</v>
      </c>
      <c r="CG16" s="29">
        <f t="shared" si="27"/>
        <v>-6</v>
      </c>
      <c r="CH16" s="30">
        <f t="shared" si="28"/>
        <v>-1131544.2857141886</v>
      </c>
      <c r="CI16" s="31">
        <f t="shared" si="29"/>
        <v>-8.1881746455532825E-2</v>
      </c>
      <c r="CK16" s="11" t="s">
        <v>26</v>
      </c>
      <c r="CL16" s="11"/>
      <c r="CM16" s="10">
        <v>888</v>
      </c>
      <c r="CN16" s="9">
        <v>9176207.1428558379</v>
      </c>
      <c r="CO16" s="29">
        <f t="shared" si="30"/>
        <v>-191</v>
      </c>
      <c r="CP16" s="30">
        <f t="shared" si="31"/>
        <v>-3511498.0952379629</v>
      </c>
      <c r="CQ16" s="31">
        <f t="shared" si="32"/>
        <v>-0.27676384573429214</v>
      </c>
      <c r="CS16" s="11" t="s">
        <v>26</v>
      </c>
      <c r="CT16" s="11"/>
      <c r="CU16" s="10">
        <v>1123</v>
      </c>
      <c r="CV16" s="9">
        <v>11727352.380950721</v>
      </c>
      <c r="CW16" s="29">
        <f t="shared" si="33"/>
        <v>235</v>
      </c>
      <c r="CX16" s="30">
        <f t="shared" si="34"/>
        <v>2551145.238094883</v>
      </c>
      <c r="CY16" s="31">
        <f t="shared" si="35"/>
        <v>0.27801739851536422</v>
      </c>
    </row>
    <row r="17" spans="1:103" s="1" customFormat="1" ht="20" customHeight="1">
      <c r="A17" s="16">
        <v>76</v>
      </c>
      <c r="B17" s="35" t="s">
        <v>32</v>
      </c>
      <c r="C17" s="1">
        <v>13536</v>
      </c>
      <c r="D17" s="38"/>
      <c r="E17" s="12"/>
      <c r="F17" s="14"/>
      <c r="G17" s="39"/>
      <c r="I17" s="16">
        <v>76</v>
      </c>
      <c r="J17" s="35" t="s">
        <v>32</v>
      </c>
      <c r="K17" s="1">
        <v>12578</v>
      </c>
      <c r="L17" s="38"/>
      <c r="M17" s="12">
        <f t="shared" si="39"/>
        <v>-958</v>
      </c>
      <c r="N17" s="14">
        <f t="shared" si="40"/>
        <v>0</v>
      </c>
      <c r="O17" s="13" t="e">
        <f t="shared" si="41"/>
        <v>#DIV/0!</v>
      </c>
      <c r="Q17" s="16">
        <v>76</v>
      </c>
      <c r="R17" s="35" t="s">
        <v>32</v>
      </c>
      <c r="S17" s="1">
        <v>7622</v>
      </c>
      <c r="T17" s="38"/>
      <c r="U17" s="12">
        <f t="shared" si="3"/>
        <v>-4956</v>
      </c>
      <c r="V17" s="14">
        <f t="shared" si="4"/>
        <v>0</v>
      </c>
      <c r="W17" s="13" t="e">
        <f t="shared" si="5"/>
        <v>#DIV/0!</v>
      </c>
      <c r="Y17" s="16">
        <v>76</v>
      </c>
      <c r="Z17" s="35" t="s">
        <v>32</v>
      </c>
      <c r="AA17" s="1">
        <v>8251</v>
      </c>
      <c r="AB17" s="38"/>
      <c r="AC17" s="12">
        <f t="shared" si="6"/>
        <v>629</v>
      </c>
      <c r="AD17" s="14">
        <f t="shared" si="7"/>
        <v>0</v>
      </c>
      <c r="AE17" s="13" t="e">
        <f t="shared" si="8"/>
        <v>#DIV/0!</v>
      </c>
      <c r="AG17" s="16">
        <v>76</v>
      </c>
      <c r="AH17" s="35" t="s">
        <v>32</v>
      </c>
      <c r="AI17" s="1">
        <v>6179</v>
      </c>
      <c r="AJ17" s="38"/>
      <c r="AK17" s="12">
        <f t="shared" si="9"/>
        <v>-2072</v>
      </c>
      <c r="AL17" s="14">
        <f t="shared" si="10"/>
        <v>0</v>
      </c>
      <c r="AM17" s="13" t="e">
        <f t="shared" si="11"/>
        <v>#DIV/0!</v>
      </c>
      <c r="AO17" s="16">
        <v>76</v>
      </c>
      <c r="AP17" s="35" t="s">
        <v>32</v>
      </c>
      <c r="AQ17" s="1">
        <v>6814</v>
      </c>
      <c r="AR17" s="38"/>
      <c r="AS17" s="12">
        <f t="shared" si="12"/>
        <v>635</v>
      </c>
      <c r="AT17" s="14">
        <f t="shared" si="13"/>
        <v>0</v>
      </c>
      <c r="AU17" s="13" t="e">
        <f t="shared" si="14"/>
        <v>#DIV/0!</v>
      </c>
      <c r="AW17" s="16">
        <v>76</v>
      </c>
      <c r="AX17" s="35" t="s">
        <v>32</v>
      </c>
      <c r="AY17" s="1">
        <v>7831</v>
      </c>
      <c r="AZ17" s="38"/>
      <c r="BA17" s="12">
        <f t="shared" si="15"/>
        <v>1017</v>
      </c>
      <c r="BB17" s="14">
        <f t="shared" si="16"/>
        <v>0</v>
      </c>
      <c r="BC17" s="13" t="e">
        <f t="shared" si="17"/>
        <v>#DIV/0!</v>
      </c>
      <c r="BE17" s="16">
        <v>76</v>
      </c>
      <c r="BF17" s="35" t="s">
        <v>32</v>
      </c>
      <c r="BG17" s="17">
        <v>6604</v>
      </c>
      <c r="BH17" s="36"/>
      <c r="BI17" s="12">
        <f t="shared" si="42"/>
        <v>-1227</v>
      </c>
      <c r="BJ17" s="14">
        <f t="shared" si="43"/>
        <v>0</v>
      </c>
      <c r="BK17" s="13" t="e">
        <f t="shared" si="44"/>
        <v>#DIV/0!</v>
      </c>
      <c r="BM17" s="16">
        <v>76</v>
      </c>
      <c r="BN17" s="35" t="s">
        <v>32</v>
      </c>
      <c r="BO17" s="17">
        <v>5779</v>
      </c>
      <c r="BP17" s="36"/>
      <c r="BQ17" s="12">
        <f t="shared" si="21"/>
        <v>-825</v>
      </c>
      <c r="BR17" s="14">
        <f t="shared" si="22"/>
        <v>0</v>
      </c>
      <c r="BS17" s="13" t="e">
        <f t="shared" si="23"/>
        <v>#DIV/0!</v>
      </c>
      <c r="BU17" s="16">
        <v>76</v>
      </c>
      <c r="BV17" s="35" t="s">
        <v>32</v>
      </c>
      <c r="BW17" s="17">
        <v>5739</v>
      </c>
      <c r="BX17" s="36"/>
      <c r="BY17" s="12">
        <f t="shared" si="24"/>
        <v>-40</v>
      </c>
      <c r="BZ17" s="14">
        <f t="shared" si="25"/>
        <v>0</v>
      </c>
      <c r="CA17" s="13" t="e">
        <f t="shared" si="26"/>
        <v>#DIV/0!</v>
      </c>
      <c r="CC17" s="16">
        <v>76</v>
      </c>
      <c r="CD17" s="35" t="s">
        <v>32</v>
      </c>
      <c r="CE17" s="17">
        <v>5282</v>
      </c>
      <c r="CF17" s="36"/>
      <c r="CG17" s="12">
        <f t="shared" si="27"/>
        <v>-457</v>
      </c>
      <c r="CH17" s="14">
        <f t="shared" si="28"/>
        <v>0</v>
      </c>
      <c r="CI17" s="13" t="e">
        <f t="shared" si="29"/>
        <v>#DIV/0!</v>
      </c>
      <c r="CK17" s="16">
        <v>76</v>
      </c>
      <c r="CL17" s="35" t="s">
        <v>32</v>
      </c>
      <c r="CM17" s="17">
        <v>5136</v>
      </c>
      <c r="CN17" s="36"/>
      <c r="CO17" s="12">
        <f t="shared" si="30"/>
        <v>-146</v>
      </c>
      <c r="CP17" s="14">
        <f t="shared" si="31"/>
        <v>0</v>
      </c>
      <c r="CQ17" s="13" t="e">
        <f t="shared" si="32"/>
        <v>#DIV/0!</v>
      </c>
      <c r="CS17" s="16">
        <v>76</v>
      </c>
      <c r="CT17" s="35" t="s">
        <v>32</v>
      </c>
      <c r="CU17" s="17">
        <v>6145</v>
      </c>
      <c r="CV17" s="36"/>
      <c r="CW17" s="12">
        <f t="shared" si="33"/>
        <v>1009</v>
      </c>
      <c r="CX17" s="14">
        <f t="shared" si="34"/>
        <v>0</v>
      </c>
      <c r="CY17" s="13" t="e">
        <f t="shared" si="35"/>
        <v>#DIV/0!</v>
      </c>
    </row>
    <row r="18" spans="1:103" s="1" customFormat="1" ht="20" customHeight="1">
      <c r="A18" s="16"/>
      <c r="B18" s="35" t="s">
        <v>33</v>
      </c>
      <c r="C18" s="1">
        <v>13</v>
      </c>
      <c r="D18" s="38"/>
      <c r="E18" s="12"/>
      <c r="F18" s="14"/>
      <c r="G18" s="39"/>
      <c r="I18" s="16"/>
      <c r="J18" s="35" t="s">
        <v>33</v>
      </c>
      <c r="K18" s="1">
        <v>7</v>
      </c>
      <c r="L18" s="38"/>
      <c r="M18" s="12">
        <f t="shared" si="39"/>
        <v>-6</v>
      </c>
      <c r="N18" s="14">
        <f t="shared" si="40"/>
        <v>0</v>
      </c>
      <c r="O18" s="13" t="e">
        <f t="shared" si="41"/>
        <v>#DIV/0!</v>
      </c>
      <c r="Q18" s="16"/>
      <c r="R18" s="35" t="s">
        <v>33</v>
      </c>
      <c r="S18" s="1">
        <v>10</v>
      </c>
      <c r="T18" s="38"/>
      <c r="U18" s="12">
        <f t="shared" si="3"/>
        <v>3</v>
      </c>
      <c r="V18" s="14">
        <f t="shared" si="4"/>
        <v>0</v>
      </c>
      <c r="W18" s="13" t="e">
        <f t="shared" si="5"/>
        <v>#DIV/0!</v>
      </c>
      <c r="Y18" s="16"/>
      <c r="Z18" s="35" t="s">
        <v>33</v>
      </c>
      <c r="AA18" s="1">
        <v>23</v>
      </c>
      <c r="AB18" s="38"/>
      <c r="AC18" s="12">
        <f t="shared" si="6"/>
        <v>13</v>
      </c>
      <c r="AD18" s="14">
        <f t="shared" si="7"/>
        <v>0</v>
      </c>
      <c r="AE18" s="13" t="e">
        <f t="shared" si="8"/>
        <v>#DIV/0!</v>
      </c>
      <c r="AG18" s="16"/>
      <c r="AH18" s="35" t="s">
        <v>33</v>
      </c>
      <c r="AI18" s="1">
        <v>27</v>
      </c>
      <c r="AJ18" s="38"/>
      <c r="AK18" s="12">
        <f t="shared" si="9"/>
        <v>4</v>
      </c>
      <c r="AL18" s="14">
        <f t="shared" si="10"/>
        <v>0</v>
      </c>
      <c r="AM18" s="13" t="e">
        <f t="shared" si="11"/>
        <v>#DIV/0!</v>
      </c>
      <c r="AO18" s="16"/>
      <c r="AP18" s="35" t="s">
        <v>33</v>
      </c>
      <c r="AQ18" s="1">
        <v>21</v>
      </c>
      <c r="AR18" s="38"/>
      <c r="AS18" s="12">
        <f t="shared" si="12"/>
        <v>-6</v>
      </c>
      <c r="AT18" s="14">
        <f t="shared" si="13"/>
        <v>0</v>
      </c>
      <c r="AU18" s="13" t="e">
        <f t="shared" si="14"/>
        <v>#DIV/0!</v>
      </c>
      <c r="AW18" s="16"/>
      <c r="AX18" s="35" t="s">
        <v>33</v>
      </c>
      <c r="AY18" s="1">
        <v>27</v>
      </c>
      <c r="AZ18" s="38"/>
      <c r="BA18" s="12">
        <f t="shared" si="15"/>
        <v>6</v>
      </c>
      <c r="BB18" s="14">
        <f t="shared" si="16"/>
        <v>0</v>
      </c>
      <c r="BC18" s="13" t="e">
        <f t="shared" si="17"/>
        <v>#DIV/0!</v>
      </c>
      <c r="BE18" s="16"/>
      <c r="BF18" s="35" t="s">
        <v>33</v>
      </c>
      <c r="BG18" s="17">
        <v>45</v>
      </c>
      <c r="BH18" s="36"/>
      <c r="BI18" s="12">
        <f t="shared" si="42"/>
        <v>18</v>
      </c>
      <c r="BJ18" s="14">
        <f t="shared" si="43"/>
        <v>0</v>
      </c>
      <c r="BK18" s="13" t="e">
        <f t="shared" si="44"/>
        <v>#DIV/0!</v>
      </c>
      <c r="BM18" s="16"/>
      <c r="BN18" s="35" t="s">
        <v>33</v>
      </c>
      <c r="BO18" s="17">
        <v>28</v>
      </c>
      <c r="BP18" s="36"/>
      <c r="BQ18" s="12">
        <f t="shared" si="21"/>
        <v>-17</v>
      </c>
      <c r="BR18" s="14">
        <f t="shared" si="22"/>
        <v>0</v>
      </c>
      <c r="BS18" s="13" t="e">
        <f t="shared" si="23"/>
        <v>#DIV/0!</v>
      </c>
      <c r="BU18" s="16"/>
      <c r="BV18" s="35" t="s">
        <v>33</v>
      </c>
      <c r="BW18" s="17">
        <v>15</v>
      </c>
      <c r="BX18" s="36"/>
      <c r="BY18" s="12">
        <f t="shared" si="24"/>
        <v>-13</v>
      </c>
      <c r="BZ18" s="14">
        <f t="shared" si="25"/>
        <v>0</v>
      </c>
      <c r="CA18" s="13" t="e">
        <f t="shared" si="26"/>
        <v>#DIV/0!</v>
      </c>
      <c r="CC18" s="16"/>
      <c r="CD18" s="35" t="s">
        <v>33</v>
      </c>
      <c r="CE18" s="17">
        <v>27</v>
      </c>
      <c r="CF18" s="36"/>
      <c r="CG18" s="12">
        <f t="shared" si="27"/>
        <v>12</v>
      </c>
      <c r="CH18" s="14">
        <f t="shared" si="28"/>
        <v>0</v>
      </c>
      <c r="CI18" s="13" t="e">
        <f t="shared" si="29"/>
        <v>#DIV/0!</v>
      </c>
      <c r="CK18" s="16"/>
      <c r="CL18" s="35" t="s">
        <v>33</v>
      </c>
      <c r="CM18" s="17">
        <v>17</v>
      </c>
      <c r="CN18" s="36"/>
      <c r="CO18" s="12">
        <f t="shared" si="30"/>
        <v>-10</v>
      </c>
      <c r="CP18" s="14">
        <f t="shared" si="31"/>
        <v>0</v>
      </c>
      <c r="CQ18" s="13" t="e">
        <f t="shared" si="32"/>
        <v>#DIV/0!</v>
      </c>
      <c r="CS18" s="16"/>
      <c r="CT18" s="35" t="s">
        <v>33</v>
      </c>
      <c r="CU18" s="17">
        <v>17</v>
      </c>
      <c r="CV18" s="36"/>
      <c r="CW18" s="12">
        <f t="shared" si="33"/>
        <v>0</v>
      </c>
      <c r="CX18" s="14">
        <f t="shared" si="34"/>
        <v>0</v>
      </c>
      <c r="CY18" s="13" t="e">
        <f t="shared" si="35"/>
        <v>#DIV/0!</v>
      </c>
    </row>
    <row r="19" spans="1:103" s="12" customFormat="1" ht="20" customHeight="1">
      <c r="A19" s="16"/>
      <c r="B19" s="15" t="s">
        <v>10</v>
      </c>
      <c r="C19" s="12">
        <v>205</v>
      </c>
      <c r="D19" s="14">
        <v>212487.61904685988</v>
      </c>
      <c r="F19" s="14"/>
      <c r="G19" s="13"/>
      <c r="I19" s="16"/>
      <c r="J19" s="15" t="s">
        <v>10</v>
      </c>
      <c r="K19" s="12">
        <v>210</v>
      </c>
      <c r="L19" s="14">
        <v>228808.57142773012</v>
      </c>
      <c r="M19" s="12">
        <f t="shared" ref="M19:M27" si="45">K19-C19</f>
        <v>5</v>
      </c>
      <c r="N19" s="14">
        <f t="shared" ref="N19:N27" si="46">L19-D19</f>
        <v>16320.952380870236</v>
      </c>
      <c r="O19" s="13">
        <f t="shared" ref="O19:O27" si="47">(L19-D19)/D19</f>
        <v>7.6808956936314385E-2</v>
      </c>
      <c r="Q19" s="16"/>
      <c r="R19" s="15" t="s">
        <v>10</v>
      </c>
      <c r="S19" s="12">
        <v>165</v>
      </c>
      <c r="T19" s="14">
        <v>192667.61904700007</v>
      </c>
      <c r="U19" s="12">
        <f t="shared" si="3"/>
        <v>-45</v>
      </c>
      <c r="V19" s="14">
        <f t="shared" si="4"/>
        <v>-36140.952380730043</v>
      </c>
      <c r="W19" s="13">
        <f t="shared" si="5"/>
        <v>-0.15795279064598011</v>
      </c>
      <c r="Y19" s="16"/>
      <c r="Z19" s="15" t="s">
        <v>10</v>
      </c>
      <c r="AA19" s="12">
        <v>214</v>
      </c>
      <c r="AB19" s="14">
        <v>213577.14285629999</v>
      </c>
      <c r="AC19" s="12">
        <f t="shared" si="6"/>
        <v>49</v>
      </c>
      <c r="AD19" s="14">
        <f t="shared" si="7"/>
        <v>20909.523809299921</v>
      </c>
      <c r="AE19" s="13">
        <f t="shared" si="8"/>
        <v>0.10852640372432885</v>
      </c>
      <c r="AG19" s="16"/>
      <c r="AH19" s="15" t="s">
        <v>10</v>
      </c>
      <c r="AI19" s="12">
        <v>183</v>
      </c>
      <c r="AJ19" s="14">
        <v>179602.85714211993</v>
      </c>
      <c r="AK19" s="12">
        <f t="shared" si="9"/>
        <v>-31</v>
      </c>
      <c r="AL19" s="14">
        <f t="shared" si="10"/>
        <v>-33974.285714180063</v>
      </c>
      <c r="AM19" s="13">
        <f t="shared" si="11"/>
        <v>-0.15907266695218789</v>
      </c>
      <c r="AO19" s="16"/>
      <c r="AP19" s="15" t="s">
        <v>10</v>
      </c>
      <c r="AQ19" s="12">
        <v>211</v>
      </c>
      <c r="AR19" s="14">
        <v>200327.61904686989</v>
      </c>
      <c r="AS19" s="12">
        <f t="shared" si="12"/>
        <v>28</v>
      </c>
      <c r="AT19" s="14">
        <f t="shared" si="13"/>
        <v>20724.761904749961</v>
      </c>
      <c r="AU19" s="13">
        <f t="shared" si="14"/>
        <v>0.11539216154200951</v>
      </c>
      <c r="AW19" s="16"/>
      <c r="AX19" s="15" t="s">
        <v>10</v>
      </c>
      <c r="AY19" s="12">
        <v>240</v>
      </c>
      <c r="AZ19" s="14">
        <v>226033.33333244006</v>
      </c>
      <c r="BA19" s="12">
        <f t="shared" si="15"/>
        <v>29</v>
      </c>
      <c r="BB19" s="14">
        <f t="shared" si="16"/>
        <v>25705.714285570168</v>
      </c>
      <c r="BC19" s="13">
        <f t="shared" si="17"/>
        <v>0.12831837371139473</v>
      </c>
      <c r="BE19" s="16"/>
      <c r="BF19" s="15" t="s">
        <v>10</v>
      </c>
      <c r="BG19" s="12">
        <v>254</v>
      </c>
      <c r="BH19" s="14">
        <v>261547.61904664987</v>
      </c>
      <c r="BI19" s="12">
        <f t="shared" si="42"/>
        <v>14</v>
      </c>
      <c r="BJ19" s="14">
        <f t="shared" si="43"/>
        <v>35514.285714209807</v>
      </c>
      <c r="BK19" s="13">
        <f t="shared" si="44"/>
        <v>0.1571196831485776</v>
      </c>
      <c r="BM19" s="16"/>
      <c r="BN19" s="15" t="s">
        <v>10</v>
      </c>
      <c r="BO19" s="12">
        <v>201</v>
      </c>
      <c r="BP19" s="14">
        <v>199822.85714215989</v>
      </c>
      <c r="BQ19" s="12">
        <f t="shared" si="21"/>
        <v>-53</v>
      </c>
      <c r="BR19" s="14">
        <f t="shared" si="22"/>
        <v>-61724.761904489977</v>
      </c>
      <c r="BS19" s="13">
        <f t="shared" si="23"/>
        <v>-0.23599817933529227</v>
      </c>
      <c r="BU19" s="16"/>
      <c r="BV19" s="15" t="s">
        <v>10</v>
      </c>
      <c r="BW19" s="12">
        <v>243</v>
      </c>
      <c r="BX19" s="14">
        <v>222998.09523728993</v>
      </c>
      <c r="BY19" s="12">
        <f t="shared" si="24"/>
        <v>42</v>
      </c>
      <c r="BZ19" s="14">
        <f t="shared" si="25"/>
        <v>23175.238095130044</v>
      </c>
      <c r="CA19" s="13">
        <f t="shared" si="26"/>
        <v>0.11597891465760843</v>
      </c>
      <c r="CC19" s="16"/>
      <c r="CD19" s="15" t="s">
        <v>10</v>
      </c>
      <c r="CE19" s="12">
        <v>302</v>
      </c>
      <c r="CF19" s="14">
        <v>272119.99999901006</v>
      </c>
      <c r="CG19" s="12">
        <f t="shared" si="27"/>
        <v>59</v>
      </c>
      <c r="CH19" s="14">
        <f t="shared" si="28"/>
        <v>49121.904761720129</v>
      </c>
      <c r="CI19" s="13">
        <f t="shared" si="29"/>
        <v>0.22027948135364128</v>
      </c>
      <c r="CK19" s="16"/>
      <c r="CL19" s="15" t="s">
        <v>10</v>
      </c>
      <c r="CM19" s="12">
        <v>179</v>
      </c>
      <c r="CN19" s="14">
        <v>198775.23809456985</v>
      </c>
      <c r="CO19" s="12">
        <f t="shared" si="30"/>
        <v>-123</v>
      </c>
      <c r="CP19" s="14">
        <f t="shared" si="31"/>
        <v>-73344.761904440209</v>
      </c>
      <c r="CQ19" s="13">
        <f t="shared" si="32"/>
        <v>-0.26953094923087983</v>
      </c>
      <c r="CS19" s="16"/>
      <c r="CT19" s="15" t="s">
        <v>10</v>
      </c>
      <c r="CU19" s="12">
        <v>209</v>
      </c>
      <c r="CV19" s="14">
        <v>214972.38095160993</v>
      </c>
      <c r="CW19" s="12">
        <f t="shared" si="33"/>
        <v>30</v>
      </c>
      <c r="CX19" s="14">
        <f t="shared" si="34"/>
        <v>16197.142857040075</v>
      </c>
      <c r="CY19" s="13">
        <f t="shared" si="35"/>
        <v>8.1484711135569501E-2</v>
      </c>
    </row>
    <row r="20" spans="1:103" s="12" customFormat="1" ht="20" customHeight="1">
      <c r="A20" s="16"/>
      <c r="B20" s="15" t="s">
        <v>9</v>
      </c>
      <c r="C20" s="12">
        <v>249</v>
      </c>
      <c r="D20" s="14">
        <v>271799.99999979994</v>
      </c>
      <c r="F20" s="14"/>
      <c r="G20" s="13"/>
      <c r="I20" s="16"/>
      <c r="J20" s="15" t="s">
        <v>9</v>
      </c>
      <c r="K20" s="12">
        <v>265</v>
      </c>
      <c r="L20" s="14">
        <v>270610.4761902999</v>
      </c>
      <c r="M20" s="12">
        <f t="shared" si="45"/>
        <v>16</v>
      </c>
      <c r="N20" s="14">
        <f t="shared" si="46"/>
        <v>-1189.5238095000386</v>
      </c>
      <c r="O20" s="13">
        <f t="shared" si="47"/>
        <v>-4.3764672902903388E-3</v>
      </c>
      <c r="Q20" s="16"/>
      <c r="R20" s="15" t="s">
        <v>9</v>
      </c>
      <c r="S20" s="12">
        <v>268</v>
      </c>
      <c r="T20" s="14">
        <v>280524.7619045999</v>
      </c>
      <c r="U20" s="12">
        <f t="shared" si="3"/>
        <v>3</v>
      </c>
      <c r="V20" s="14">
        <f t="shared" si="4"/>
        <v>9914.2857143000001</v>
      </c>
      <c r="W20" s="13">
        <f t="shared" si="5"/>
        <v>3.6636740210042838E-2</v>
      </c>
      <c r="Y20" s="16"/>
      <c r="Z20" s="15" t="s">
        <v>9</v>
      </c>
      <c r="AA20" s="12">
        <v>267</v>
      </c>
      <c r="AB20" s="14">
        <v>273267.61904742994</v>
      </c>
      <c r="AC20" s="12">
        <f t="shared" si="6"/>
        <v>-1</v>
      </c>
      <c r="AD20" s="14">
        <f t="shared" si="7"/>
        <v>-7257.1428571699653</v>
      </c>
      <c r="AE20" s="13">
        <f t="shared" si="8"/>
        <v>-2.5869883314036834E-2</v>
      </c>
      <c r="AG20" s="16"/>
      <c r="AH20" s="15" t="s">
        <v>9</v>
      </c>
      <c r="AI20" s="12">
        <v>240</v>
      </c>
      <c r="AJ20" s="14">
        <v>281381.90476173995</v>
      </c>
      <c r="AK20" s="12">
        <f t="shared" si="9"/>
        <v>-27</v>
      </c>
      <c r="AL20" s="14">
        <f t="shared" si="10"/>
        <v>8114.2857143100118</v>
      </c>
      <c r="AM20" s="13">
        <f t="shared" si="11"/>
        <v>2.9693550017360997E-2</v>
      </c>
      <c r="AO20" s="16"/>
      <c r="AP20" s="15" t="s">
        <v>9</v>
      </c>
      <c r="AQ20" s="12">
        <v>258</v>
      </c>
      <c r="AR20" s="14">
        <v>225462.85714269005</v>
      </c>
      <c r="AS20" s="12">
        <f t="shared" si="12"/>
        <v>18</v>
      </c>
      <c r="AT20" s="14">
        <f t="shared" si="13"/>
        <v>-55919.047619049903</v>
      </c>
      <c r="AU20" s="13">
        <f t="shared" si="14"/>
        <v>-0.19873007706874166</v>
      </c>
      <c r="AW20" s="16"/>
      <c r="AX20" s="15" t="s">
        <v>9</v>
      </c>
      <c r="AY20" s="12">
        <v>316</v>
      </c>
      <c r="AZ20" s="14">
        <v>325009.52380938001</v>
      </c>
      <c r="BA20" s="12">
        <f t="shared" si="15"/>
        <v>58</v>
      </c>
      <c r="BB20" s="14">
        <f t="shared" si="16"/>
        <v>99546.666666689969</v>
      </c>
      <c r="BC20" s="13">
        <f t="shared" si="17"/>
        <v>0.4415213571239775</v>
      </c>
      <c r="BE20" s="16"/>
      <c r="BF20" s="15" t="s">
        <v>9</v>
      </c>
      <c r="BG20" s="12">
        <v>291</v>
      </c>
      <c r="BH20" s="14">
        <v>352294.28571410995</v>
      </c>
      <c r="BI20" s="12">
        <f t="shared" si="42"/>
        <v>-25</v>
      </c>
      <c r="BJ20" s="14">
        <f t="shared" si="43"/>
        <v>27284.761904729938</v>
      </c>
      <c r="BK20" s="13">
        <f t="shared" si="44"/>
        <v>8.3950653460643232E-2</v>
      </c>
      <c r="BM20" s="16"/>
      <c r="BN20" s="15" t="s">
        <v>9</v>
      </c>
      <c r="BO20" s="12">
        <v>209</v>
      </c>
      <c r="BP20" s="14">
        <v>297391.42857128999</v>
      </c>
      <c r="BQ20" s="12">
        <f t="shared" si="21"/>
        <v>-82</v>
      </c>
      <c r="BR20" s="14">
        <f t="shared" si="22"/>
        <v>-54902.857142819965</v>
      </c>
      <c r="BS20" s="13">
        <f t="shared" si="23"/>
        <v>-0.15584373454008885</v>
      </c>
      <c r="BU20" s="16"/>
      <c r="BV20" s="15" t="s">
        <v>9</v>
      </c>
      <c r="BW20" s="12">
        <v>239</v>
      </c>
      <c r="BX20" s="14">
        <v>260047.61904747997</v>
      </c>
      <c r="BY20" s="12">
        <f t="shared" si="24"/>
        <v>30</v>
      </c>
      <c r="BZ20" s="14">
        <f t="shared" si="25"/>
        <v>-37343.809523810021</v>
      </c>
      <c r="CA20" s="13">
        <f t="shared" si="26"/>
        <v>-0.12557123688202751</v>
      </c>
      <c r="CC20" s="16"/>
      <c r="CD20" s="15" t="s">
        <v>9</v>
      </c>
      <c r="CE20" s="12">
        <v>228</v>
      </c>
      <c r="CF20" s="14">
        <v>262438.09523795999</v>
      </c>
      <c r="CG20" s="12">
        <f t="shared" si="27"/>
        <v>-11</v>
      </c>
      <c r="CH20" s="14">
        <f t="shared" si="28"/>
        <v>2390.4761904800253</v>
      </c>
      <c r="CI20" s="13">
        <f t="shared" si="29"/>
        <v>9.192455594233177E-3</v>
      </c>
      <c r="CK20" s="16"/>
      <c r="CL20" s="15" t="s">
        <v>9</v>
      </c>
      <c r="CM20" s="12">
        <v>244</v>
      </c>
      <c r="CN20" s="14">
        <v>270966.66666653997</v>
      </c>
      <c r="CO20" s="12">
        <f t="shared" si="30"/>
        <v>16</v>
      </c>
      <c r="CP20" s="14">
        <f t="shared" si="31"/>
        <v>8528.5714285799768</v>
      </c>
      <c r="CQ20" s="13">
        <f t="shared" si="32"/>
        <v>3.2497459718440959E-2</v>
      </c>
      <c r="CS20" s="16"/>
      <c r="CT20" s="15" t="s">
        <v>9</v>
      </c>
      <c r="CU20" s="12">
        <v>216</v>
      </c>
      <c r="CV20" s="14">
        <v>224739.04761890002</v>
      </c>
      <c r="CW20" s="12">
        <f t="shared" si="33"/>
        <v>-28</v>
      </c>
      <c r="CX20" s="14">
        <f t="shared" si="34"/>
        <v>-46227.61904763995</v>
      </c>
      <c r="CY20" s="13">
        <f t="shared" si="35"/>
        <v>-0.17060260443226066</v>
      </c>
    </row>
    <row r="21" spans="1:103" s="12" customFormat="1" ht="20" customHeight="1">
      <c r="A21" s="16"/>
      <c r="B21" s="15" t="s">
        <v>8</v>
      </c>
      <c r="C21" s="12">
        <v>43</v>
      </c>
      <c r="D21" s="14">
        <v>238447.61904760002</v>
      </c>
      <c r="F21" s="14"/>
      <c r="G21" s="13"/>
      <c r="I21" s="16"/>
      <c r="J21" s="15" t="s">
        <v>8</v>
      </c>
      <c r="K21" s="12">
        <v>42</v>
      </c>
      <c r="L21" s="14">
        <v>242700.95238094</v>
      </c>
      <c r="M21" s="12">
        <f t="shared" si="45"/>
        <v>-1</v>
      </c>
      <c r="N21" s="14">
        <f t="shared" si="46"/>
        <v>4253.3333333399787</v>
      </c>
      <c r="O21" s="13">
        <f t="shared" si="47"/>
        <v>1.7837600351509102E-2</v>
      </c>
      <c r="Q21" s="16"/>
      <c r="R21" s="15" t="s">
        <v>8</v>
      </c>
      <c r="S21" s="12">
        <v>33</v>
      </c>
      <c r="T21" s="14">
        <v>199685.71428568999</v>
      </c>
      <c r="U21" s="12">
        <f t="shared" si="3"/>
        <v>-9</v>
      </c>
      <c r="V21" s="14">
        <f t="shared" si="4"/>
        <v>-43015.23809525001</v>
      </c>
      <c r="W21" s="13">
        <f t="shared" si="5"/>
        <v>-0.1772355554160904</v>
      </c>
      <c r="Y21" s="16"/>
      <c r="Z21" s="15" t="s">
        <v>8</v>
      </c>
      <c r="AA21" s="12">
        <v>26</v>
      </c>
      <c r="AB21" s="14">
        <v>148323.80952379998</v>
      </c>
      <c r="AC21" s="12">
        <f t="shared" si="6"/>
        <v>-7</v>
      </c>
      <c r="AD21" s="14">
        <f t="shared" si="7"/>
        <v>-51361.904761890008</v>
      </c>
      <c r="AE21" s="13">
        <f t="shared" si="8"/>
        <v>-0.25721371679301319</v>
      </c>
      <c r="AG21" s="16"/>
      <c r="AH21" s="15" t="s">
        <v>8</v>
      </c>
      <c r="AI21" s="12">
        <v>24</v>
      </c>
      <c r="AJ21" s="14">
        <v>119771.42857141999</v>
      </c>
      <c r="AK21" s="12">
        <f t="shared" si="9"/>
        <v>-2</v>
      </c>
      <c r="AL21" s="14">
        <f t="shared" si="10"/>
        <v>-28552.380952379986</v>
      </c>
      <c r="AM21" s="13">
        <f t="shared" si="11"/>
        <v>-0.19250032104790621</v>
      </c>
      <c r="AO21" s="16"/>
      <c r="AP21" s="15" t="s">
        <v>8</v>
      </c>
      <c r="AQ21" s="12">
        <v>30</v>
      </c>
      <c r="AR21" s="14">
        <v>161142.85714283999</v>
      </c>
      <c r="AS21" s="12">
        <f t="shared" si="12"/>
        <v>6</v>
      </c>
      <c r="AT21" s="14">
        <f t="shared" si="13"/>
        <v>41371.428571419994</v>
      </c>
      <c r="AU21" s="13">
        <f t="shared" si="14"/>
        <v>0.34541984732819742</v>
      </c>
      <c r="AW21" s="16"/>
      <c r="AX21" s="15" t="s">
        <v>8</v>
      </c>
      <c r="AY21" s="12">
        <v>52</v>
      </c>
      <c r="AZ21" s="14">
        <v>319504.76190474001</v>
      </c>
      <c r="BA21" s="12">
        <f t="shared" si="15"/>
        <v>22</v>
      </c>
      <c r="BB21" s="14">
        <f t="shared" si="16"/>
        <v>158361.90476190002</v>
      </c>
      <c r="BC21" s="13">
        <f t="shared" si="17"/>
        <v>0.98274231678494517</v>
      </c>
      <c r="BE21" s="16"/>
      <c r="BF21" s="15" t="s">
        <v>8</v>
      </c>
      <c r="BG21" s="12">
        <v>135</v>
      </c>
      <c r="BH21" s="14">
        <v>897705.71428569988</v>
      </c>
      <c r="BI21" s="12">
        <f t="shared" si="42"/>
        <v>83</v>
      </c>
      <c r="BJ21" s="14">
        <f t="shared" si="43"/>
        <v>578200.95238095988</v>
      </c>
      <c r="BK21" s="13">
        <f t="shared" si="44"/>
        <v>1.8096786693694094</v>
      </c>
      <c r="BM21" s="16"/>
      <c r="BN21" s="15" t="s">
        <v>8</v>
      </c>
      <c r="BO21" s="12">
        <v>86</v>
      </c>
      <c r="BP21" s="14">
        <v>584895.23809522996</v>
      </c>
      <c r="BQ21" s="12">
        <f t="shared" si="21"/>
        <v>-49</v>
      </c>
      <c r="BR21" s="14">
        <f t="shared" si="22"/>
        <v>-312810.47619046993</v>
      </c>
      <c r="BS21" s="13">
        <f t="shared" si="23"/>
        <v>-0.34845548069098758</v>
      </c>
      <c r="BU21" s="16"/>
      <c r="BV21" s="15" t="s">
        <v>8</v>
      </c>
      <c r="BW21" s="12">
        <v>68</v>
      </c>
      <c r="BX21" s="14">
        <v>447091.42857140995</v>
      </c>
      <c r="BY21" s="12">
        <f t="shared" si="24"/>
        <v>-18</v>
      </c>
      <c r="BZ21" s="14">
        <f t="shared" si="25"/>
        <v>-137803.80952382</v>
      </c>
      <c r="CA21" s="13">
        <f t="shared" si="26"/>
        <v>-0.23560425961509268</v>
      </c>
      <c r="CC21" s="16"/>
      <c r="CD21" s="15" t="s">
        <v>8</v>
      </c>
      <c r="CE21" s="12">
        <v>71</v>
      </c>
      <c r="CF21" s="14">
        <v>445038.09523808002</v>
      </c>
      <c r="CG21" s="12">
        <f t="shared" si="27"/>
        <v>3</v>
      </c>
      <c r="CH21" s="14">
        <f t="shared" si="28"/>
        <v>-2053.3333333299379</v>
      </c>
      <c r="CI21" s="13">
        <f t="shared" si="29"/>
        <v>-4.5926475036458395E-3</v>
      </c>
      <c r="CK21" s="16"/>
      <c r="CL21" s="15" t="s">
        <v>8</v>
      </c>
      <c r="CM21" s="12">
        <v>72</v>
      </c>
      <c r="CN21" s="14">
        <v>495028.57142853999</v>
      </c>
      <c r="CO21" s="12">
        <f t="shared" si="30"/>
        <v>1</v>
      </c>
      <c r="CP21" s="14">
        <f t="shared" si="31"/>
        <v>49990.476190459973</v>
      </c>
      <c r="CQ21" s="13">
        <f t="shared" si="32"/>
        <v>0.11232853260284784</v>
      </c>
      <c r="CS21" s="16"/>
      <c r="CT21" s="15" t="s">
        <v>8</v>
      </c>
      <c r="CU21" s="12">
        <v>103</v>
      </c>
      <c r="CV21" s="14">
        <v>681399.99999998999</v>
      </c>
      <c r="CW21" s="12">
        <f t="shared" si="33"/>
        <v>31</v>
      </c>
      <c r="CX21" s="14">
        <f t="shared" si="34"/>
        <v>186371.42857145</v>
      </c>
      <c r="CY21" s="13">
        <f t="shared" si="35"/>
        <v>0.37648620570247976</v>
      </c>
    </row>
    <row r="22" spans="1:103" s="12" customFormat="1" ht="20" customHeight="1">
      <c r="A22" s="16"/>
      <c r="B22" s="15" t="s">
        <v>7</v>
      </c>
      <c r="C22" s="12">
        <v>74</v>
      </c>
      <c r="D22" s="14">
        <v>988190.47619037016</v>
      </c>
      <c r="F22" s="14"/>
      <c r="G22" s="13"/>
      <c r="I22" s="16"/>
      <c r="J22" s="15" t="s">
        <v>7</v>
      </c>
      <c r="K22" s="12">
        <v>72</v>
      </c>
      <c r="L22" s="14">
        <v>859333.33333321998</v>
      </c>
      <c r="M22" s="12">
        <f t="shared" si="45"/>
        <v>-2</v>
      </c>
      <c r="N22" s="14">
        <f t="shared" si="46"/>
        <v>-128857.14285715017</v>
      </c>
      <c r="O22" s="13">
        <f t="shared" si="47"/>
        <v>-0.1303970701619335</v>
      </c>
      <c r="Q22" s="16"/>
      <c r="R22" s="15" t="s">
        <v>7</v>
      </c>
      <c r="S22" s="12">
        <v>42</v>
      </c>
      <c r="T22" s="14">
        <v>597904.76190469007</v>
      </c>
      <c r="U22" s="12">
        <f t="shared" si="3"/>
        <v>-30</v>
      </c>
      <c r="V22" s="14">
        <f t="shared" si="4"/>
        <v>-261428.57142852992</v>
      </c>
      <c r="W22" s="13">
        <f t="shared" si="5"/>
        <v>-0.30422254239165758</v>
      </c>
      <c r="Y22" s="16"/>
      <c r="Z22" s="15" t="s">
        <v>7</v>
      </c>
      <c r="AA22" s="12">
        <v>44</v>
      </c>
      <c r="AB22" s="14">
        <v>562476.19047611998</v>
      </c>
      <c r="AC22" s="12">
        <f t="shared" si="6"/>
        <v>2</v>
      </c>
      <c r="AD22" s="14">
        <f t="shared" si="7"/>
        <v>-35428.571428570081</v>
      </c>
      <c r="AE22" s="13">
        <f t="shared" si="8"/>
        <v>-5.9254539662317703E-2</v>
      </c>
      <c r="AG22" s="16"/>
      <c r="AH22" s="15" t="s">
        <v>7</v>
      </c>
      <c r="AI22" s="12">
        <v>41</v>
      </c>
      <c r="AJ22" s="14">
        <v>557047.61904753011</v>
      </c>
      <c r="AK22" s="12">
        <f t="shared" si="9"/>
        <v>-3</v>
      </c>
      <c r="AL22" s="14">
        <f t="shared" si="10"/>
        <v>-5428.5714285898721</v>
      </c>
      <c r="AM22" s="13">
        <f t="shared" si="11"/>
        <v>-9.6512021673215032E-3</v>
      </c>
      <c r="AO22" s="16"/>
      <c r="AP22" s="15" t="s">
        <v>7</v>
      </c>
      <c r="AQ22" s="12">
        <v>51</v>
      </c>
      <c r="AR22" s="14">
        <v>703714.2857142</v>
      </c>
      <c r="AS22" s="12">
        <f t="shared" si="12"/>
        <v>10</v>
      </c>
      <c r="AT22" s="14">
        <f t="shared" si="13"/>
        <v>146666.66666666989</v>
      </c>
      <c r="AU22" s="13">
        <f t="shared" si="14"/>
        <v>0.2632928705762147</v>
      </c>
      <c r="AW22" s="16"/>
      <c r="AX22" s="15" t="s">
        <v>7</v>
      </c>
      <c r="AY22" s="12">
        <v>52</v>
      </c>
      <c r="AZ22" s="14">
        <v>674095.23809514008</v>
      </c>
      <c r="BA22" s="12">
        <f t="shared" si="15"/>
        <v>1</v>
      </c>
      <c r="BB22" s="14">
        <f t="shared" si="16"/>
        <v>-29619.047619059915</v>
      </c>
      <c r="BC22" s="13">
        <f t="shared" si="17"/>
        <v>-4.2089592637727297E-2</v>
      </c>
      <c r="BE22" s="16"/>
      <c r="BF22" s="15" t="s">
        <v>7</v>
      </c>
      <c r="BG22" s="12">
        <v>63</v>
      </c>
      <c r="BH22" s="14">
        <v>833999.99999991001</v>
      </c>
      <c r="BI22" s="12">
        <f t="shared" si="42"/>
        <v>11</v>
      </c>
      <c r="BJ22" s="14">
        <f t="shared" si="43"/>
        <v>159904.76190476993</v>
      </c>
      <c r="BK22" s="13">
        <f t="shared" si="44"/>
        <v>0.23721390223231539</v>
      </c>
      <c r="BM22" s="16"/>
      <c r="BN22" s="15" t="s">
        <v>7</v>
      </c>
      <c r="BO22" s="12">
        <v>48</v>
      </c>
      <c r="BP22" s="14">
        <v>607809.52380944998</v>
      </c>
      <c r="BQ22" s="12">
        <f t="shared" si="21"/>
        <v>-15</v>
      </c>
      <c r="BR22" s="14">
        <f t="shared" si="22"/>
        <v>-226190.47619046003</v>
      </c>
      <c r="BS22" s="13">
        <f t="shared" si="23"/>
        <v>-0.27121160214686385</v>
      </c>
      <c r="BU22" s="16"/>
      <c r="BV22" s="15" t="s">
        <v>7</v>
      </c>
      <c r="BW22" s="12">
        <v>45</v>
      </c>
      <c r="BX22" s="14">
        <v>602857.14285708009</v>
      </c>
      <c r="BY22" s="12">
        <f t="shared" si="24"/>
        <v>-3</v>
      </c>
      <c r="BZ22" s="14">
        <f t="shared" si="25"/>
        <v>-4952.3809523698874</v>
      </c>
      <c r="CA22" s="13">
        <f t="shared" si="26"/>
        <v>-8.1479160137715653E-3</v>
      </c>
      <c r="CC22" s="16"/>
      <c r="CD22" s="15" t="s">
        <v>7</v>
      </c>
      <c r="CE22" s="12">
        <v>31</v>
      </c>
      <c r="CF22" s="14">
        <v>359904.76190470997</v>
      </c>
      <c r="CG22" s="12">
        <f t="shared" si="27"/>
        <v>-14</v>
      </c>
      <c r="CH22" s="14">
        <f t="shared" si="28"/>
        <v>-242952.38095237012</v>
      </c>
      <c r="CI22" s="13">
        <f t="shared" si="29"/>
        <v>-0.40300157977885498</v>
      </c>
      <c r="CK22" s="16"/>
      <c r="CL22" s="15" t="s">
        <v>7</v>
      </c>
      <c r="CM22" s="12">
        <v>30</v>
      </c>
      <c r="CN22" s="14">
        <v>395238.09523803997</v>
      </c>
      <c r="CO22" s="12">
        <f t="shared" si="30"/>
        <v>-1</v>
      </c>
      <c r="CP22" s="14">
        <f t="shared" si="31"/>
        <v>35333.333333329996</v>
      </c>
      <c r="CQ22" s="13">
        <f t="shared" si="32"/>
        <v>9.8174120137607429E-2</v>
      </c>
      <c r="CS22" s="16"/>
      <c r="CT22" s="15" t="s">
        <v>7</v>
      </c>
      <c r="CU22" s="12">
        <v>34</v>
      </c>
      <c r="CV22" s="14">
        <v>495809.52380947</v>
      </c>
      <c r="CW22" s="12">
        <f t="shared" si="33"/>
        <v>4</v>
      </c>
      <c r="CX22" s="14">
        <f t="shared" si="34"/>
        <v>100571.42857143003</v>
      </c>
      <c r="CY22" s="13">
        <f t="shared" si="35"/>
        <v>0.2544578313253405</v>
      </c>
    </row>
    <row r="23" spans="1:103" s="12" customFormat="1" ht="20" customHeight="1">
      <c r="A23" s="16"/>
      <c r="B23" s="15" t="s">
        <v>6</v>
      </c>
      <c r="C23" s="12">
        <v>6</v>
      </c>
      <c r="D23" s="14">
        <v>23142.857142839999</v>
      </c>
      <c r="F23" s="14"/>
      <c r="G23" s="13"/>
      <c r="I23" s="16"/>
      <c r="J23" s="15" t="s">
        <v>6</v>
      </c>
      <c r="K23" s="12">
        <v>5</v>
      </c>
      <c r="L23" s="14">
        <v>14285.714285710001</v>
      </c>
      <c r="M23" s="12">
        <f t="shared" si="45"/>
        <v>-1</v>
      </c>
      <c r="N23" s="14">
        <f t="shared" si="46"/>
        <v>-8857.1428571299984</v>
      </c>
      <c r="O23" s="13">
        <f t="shared" si="47"/>
        <v>-0.38271604938244391</v>
      </c>
      <c r="Q23" s="16"/>
      <c r="R23" s="15" t="s">
        <v>6</v>
      </c>
      <c r="S23" s="12">
        <v>8</v>
      </c>
      <c r="T23" s="14">
        <v>40857.142857129998</v>
      </c>
      <c r="U23" s="12">
        <f t="shared" si="3"/>
        <v>3</v>
      </c>
      <c r="V23" s="14">
        <f t="shared" si="4"/>
        <v>26571.428571419998</v>
      </c>
      <c r="W23" s="13">
        <f t="shared" si="5"/>
        <v>1.8599999999999577</v>
      </c>
      <c r="Y23" s="16"/>
      <c r="Z23" s="15" t="s">
        <v>6</v>
      </c>
      <c r="AA23" s="12">
        <v>1</v>
      </c>
      <c r="AB23" s="14">
        <v>2857.1428571400002</v>
      </c>
      <c r="AC23" s="12">
        <f t="shared" si="6"/>
        <v>-7</v>
      </c>
      <c r="AD23" s="14">
        <f t="shared" si="7"/>
        <v>-37999.999999989996</v>
      </c>
      <c r="AE23" s="13">
        <f t="shared" si="8"/>
        <v>-0.93006993006997796</v>
      </c>
      <c r="AG23" s="16"/>
      <c r="AH23" s="15" t="s">
        <v>6</v>
      </c>
      <c r="AI23" s="12">
        <v>2</v>
      </c>
      <c r="AJ23" s="14">
        <v>5714.2857142800003</v>
      </c>
      <c r="AK23" s="12">
        <f t="shared" si="9"/>
        <v>1</v>
      </c>
      <c r="AL23" s="14">
        <f t="shared" si="10"/>
        <v>2857.1428571400002</v>
      </c>
      <c r="AM23" s="13">
        <f t="shared" si="11"/>
        <v>1</v>
      </c>
      <c r="AO23" s="16"/>
      <c r="AP23" s="15" t="s">
        <v>6</v>
      </c>
      <c r="AR23" s="14"/>
      <c r="AS23" s="12">
        <f t="shared" si="12"/>
        <v>-2</v>
      </c>
      <c r="AT23" s="14">
        <f t="shared" si="13"/>
        <v>-5714.2857142800003</v>
      </c>
      <c r="AU23" s="13">
        <f t="shared" si="14"/>
        <v>-1</v>
      </c>
      <c r="AW23" s="16"/>
      <c r="AX23" s="15" t="s">
        <v>6</v>
      </c>
      <c r="AY23" s="12">
        <v>2</v>
      </c>
      <c r="AZ23" s="14">
        <v>5714.2857142800003</v>
      </c>
      <c r="BA23" s="12">
        <f t="shared" si="15"/>
        <v>2</v>
      </c>
      <c r="BB23" s="14">
        <f t="shared" si="16"/>
        <v>5714.2857142800003</v>
      </c>
      <c r="BC23" s="13" t="e">
        <f t="shared" si="17"/>
        <v>#DIV/0!</v>
      </c>
      <c r="BE23" s="16"/>
      <c r="BF23" s="15" t="s">
        <v>6</v>
      </c>
      <c r="BG23" s="12">
        <v>2</v>
      </c>
      <c r="BH23" s="14">
        <v>5714.2857142800003</v>
      </c>
      <c r="BI23" s="12">
        <f t="shared" si="42"/>
        <v>0</v>
      </c>
      <c r="BJ23" s="14">
        <f t="shared" si="43"/>
        <v>0</v>
      </c>
      <c r="BK23" s="13">
        <f t="shared" si="44"/>
        <v>0</v>
      </c>
      <c r="BM23" s="16"/>
      <c r="BN23" s="15" t="s">
        <v>6</v>
      </c>
      <c r="BO23" s="12">
        <v>0</v>
      </c>
      <c r="BP23" s="14">
        <v>0</v>
      </c>
      <c r="BQ23" s="12">
        <f t="shared" si="21"/>
        <v>-2</v>
      </c>
      <c r="BR23" s="14">
        <f t="shared" si="22"/>
        <v>-5714.2857142800003</v>
      </c>
      <c r="BS23" s="13">
        <f t="shared" si="23"/>
        <v>-1</v>
      </c>
      <c r="BU23" s="16"/>
      <c r="BV23" s="15" t="s">
        <v>6</v>
      </c>
      <c r="BW23" s="12">
        <v>0</v>
      </c>
      <c r="BX23" s="14">
        <v>0</v>
      </c>
      <c r="BY23" s="12">
        <f t="shared" si="24"/>
        <v>0</v>
      </c>
      <c r="BZ23" s="14">
        <f t="shared" si="25"/>
        <v>0</v>
      </c>
      <c r="CA23" s="13" t="e">
        <f t="shared" si="26"/>
        <v>#DIV/0!</v>
      </c>
      <c r="CC23" s="16"/>
      <c r="CD23" s="15" t="s">
        <v>6</v>
      </c>
      <c r="CE23" s="12">
        <v>1</v>
      </c>
      <c r="CF23" s="14">
        <v>2857.1428571400002</v>
      </c>
      <c r="CG23" s="12">
        <f t="shared" si="27"/>
        <v>1</v>
      </c>
      <c r="CH23" s="14">
        <f t="shared" si="28"/>
        <v>2857.1428571400002</v>
      </c>
      <c r="CI23" s="13" t="e">
        <f t="shared" si="29"/>
        <v>#DIV/0!</v>
      </c>
      <c r="CK23" s="16"/>
      <c r="CL23" s="15" t="s">
        <v>6</v>
      </c>
      <c r="CM23" s="12">
        <v>0</v>
      </c>
      <c r="CN23" s="14">
        <v>0</v>
      </c>
      <c r="CO23" s="12">
        <f t="shared" si="30"/>
        <v>-1</v>
      </c>
      <c r="CP23" s="14">
        <f t="shared" si="31"/>
        <v>-2857.1428571400002</v>
      </c>
      <c r="CQ23" s="13">
        <f t="shared" si="32"/>
        <v>-1</v>
      </c>
      <c r="CS23" s="16"/>
      <c r="CT23" s="15" t="s">
        <v>6</v>
      </c>
      <c r="CV23" s="14"/>
      <c r="CW23" s="12">
        <f t="shared" si="33"/>
        <v>0</v>
      </c>
      <c r="CX23" s="14">
        <f t="shared" si="34"/>
        <v>0</v>
      </c>
      <c r="CY23" s="13" t="e">
        <f t="shared" si="35"/>
        <v>#DIV/0!</v>
      </c>
    </row>
    <row r="24" spans="1:103" s="12" customFormat="1" ht="20" customHeight="1">
      <c r="A24" s="16"/>
      <c r="B24" s="15" t="s">
        <v>5</v>
      </c>
      <c r="C24" s="12">
        <v>5</v>
      </c>
      <c r="D24" s="14">
        <v>24450</v>
      </c>
      <c r="F24" s="14"/>
      <c r="G24" s="13"/>
      <c r="I24" s="16"/>
      <c r="J24" s="15" t="s">
        <v>5</v>
      </c>
      <c r="K24" s="12">
        <v>3</v>
      </c>
      <c r="L24" s="14">
        <v>13370</v>
      </c>
      <c r="M24" s="12">
        <f t="shared" si="45"/>
        <v>-2</v>
      </c>
      <c r="N24" s="14">
        <f t="shared" si="46"/>
        <v>-11080</v>
      </c>
      <c r="O24" s="13">
        <f t="shared" si="47"/>
        <v>-0.45316973415132922</v>
      </c>
      <c r="Q24" s="16"/>
      <c r="R24" s="15" t="s">
        <v>5</v>
      </c>
      <c r="S24" s="12">
        <v>3</v>
      </c>
      <c r="T24" s="14">
        <v>10370</v>
      </c>
      <c r="U24" s="12">
        <f t="shared" si="3"/>
        <v>0</v>
      </c>
      <c r="V24" s="14">
        <f t="shared" si="4"/>
        <v>-3000</v>
      </c>
      <c r="W24" s="13">
        <f t="shared" si="5"/>
        <v>-0.22438294689603591</v>
      </c>
      <c r="Y24" s="16"/>
      <c r="Z24" s="15" t="s">
        <v>5</v>
      </c>
      <c r="AA24" s="12">
        <v>6</v>
      </c>
      <c r="AB24" s="14">
        <v>38340</v>
      </c>
      <c r="AC24" s="12">
        <f t="shared" si="6"/>
        <v>3</v>
      </c>
      <c r="AD24" s="14">
        <f t="shared" si="7"/>
        <v>27970</v>
      </c>
      <c r="AE24" s="13">
        <f t="shared" si="8"/>
        <v>2.6972034715525552</v>
      </c>
      <c r="AG24" s="16"/>
      <c r="AH24" s="15" t="s">
        <v>5</v>
      </c>
      <c r="AI24" s="12">
        <v>5</v>
      </c>
      <c r="AJ24" s="14">
        <v>30350</v>
      </c>
      <c r="AK24" s="12">
        <f t="shared" si="9"/>
        <v>-1</v>
      </c>
      <c r="AL24" s="14">
        <f t="shared" si="10"/>
        <v>-7990</v>
      </c>
      <c r="AM24" s="13">
        <f t="shared" si="11"/>
        <v>-0.20839853938445488</v>
      </c>
      <c r="AO24" s="16"/>
      <c r="AP24" s="15" t="s">
        <v>5</v>
      </c>
      <c r="AQ24" s="12">
        <v>11</v>
      </c>
      <c r="AR24" s="14">
        <v>61390</v>
      </c>
      <c r="AS24" s="12">
        <f t="shared" si="12"/>
        <v>6</v>
      </c>
      <c r="AT24" s="14">
        <f t="shared" si="13"/>
        <v>31040</v>
      </c>
      <c r="AU24" s="13">
        <f t="shared" si="14"/>
        <v>1.0227347611202635</v>
      </c>
      <c r="AW24" s="16"/>
      <c r="AX24" s="15" t="s">
        <v>5</v>
      </c>
      <c r="AY24" s="12">
        <v>13</v>
      </c>
      <c r="AZ24" s="14">
        <v>74570</v>
      </c>
      <c r="BA24" s="12">
        <f t="shared" si="15"/>
        <v>2</v>
      </c>
      <c r="BB24" s="14">
        <f t="shared" si="16"/>
        <v>13180</v>
      </c>
      <c r="BC24" s="13">
        <f t="shared" si="17"/>
        <v>0.21469294673399578</v>
      </c>
      <c r="BE24" s="16"/>
      <c r="BF24" s="15" t="s">
        <v>5</v>
      </c>
      <c r="BG24" s="12">
        <v>12</v>
      </c>
      <c r="BH24" s="14">
        <v>55980</v>
      </c>
      <c r="BI24" s="12">
        <f t="shared" si="42"/>
        <v>-1</v>
      </c>
      <c r="BJ24" s="14">
        <f t="shared" si="43"/>
        <v>-18590</v>
      </c>
      <c r="BK24" s="13">
        <f t="shared" si="44"/>
        <v>-0.24929596352420544</v>
      </c>
      <c r="BM24" s="16"/>
      <c r="BN24" s="15" t="s">
        <v>5</v>
      </c>
      <c r="BO24" s="12">
        <v>7</v>
      </c>
      <c r="BP24" s="14">
        <v>32830</v>
      </c>
      <c r="BQ24" s="12">
        <f t="shared" si="21"/>
        <v>-5</v>
      </c>
      <c r="BR24" s="14">
        <f t="shared" si="22"/>
        <v>-23150</v>
      </c>
      <c r="BS24" s="13">
        <f t="shared" si="23"/>
        <v>-0.41354055019649877</v>
      </c>
      <c r="BU24" s="16"/>
      <c r="BV24" s="15" t="s">
        <v>5</v>
      </c>
      <c r="BW24" s="12">
        <v>14</v>
      </c>
      <c r="BX24" s="14">
        <v>77360</v>
      </c>
      <c r="BY24" s="12">
        <f t="shared" si="24"/>
        <v>7</v>
      </c>
      <c r="BZ24" s="14">
        <f t="shared" si="25"/>
        <v>44530</v>
      </c>
      <c r="CA24" s="13">
        <f t="shared" si="26"/>
        <v>1.3563813585135547</v>
      </c>
      <c r="CC24" s="16"/>
      <c r="CD24" s="15" t="s">
        <v>5</v>
      </c>
      <c r="CE24" s="12">
        <v>15</v>
      </c>
      <c r="CF24" s="14">
        <v>98750</v>
      </c>
      <c r="CG24" s="12">
        <f t="shared" si="27"/>
        <v>1</v>
      </c>
      <c r="CH24" s="14">
        <f t="shared" si="28"/>
        <v>21390</v>
      </c>
      <c r="CI24" s="13">
        <f t="shared" si="29"/>
        <v>0.27649948293691828</v>
      </c>
      <c r="CK24" s="16"/>
      <c r="CL24" s="15" t="s">
        <v>5</v>
      </c>
      <c r="CM24" s="12">
        <v>16</v>
      </c>
      <c r="CN24" s="14">
        <v>90540</v>
      </c>
      <c r="CO24" s="12">
        <f t="shared" si="30"/>
        <v>1</v>
      </c>
      <c r="CP24" s="14">
        <f t="shared" si="31"/>
        <v>-8210</v>
      </c>
      <c r="CQ24" s="13">
        <f t="shared" si="32"/>
        <v>-8.3139240506329121E-2</v>
      </c>
      <c r="CS24" s="16"/>
      <c r="CT24" s="15" t="s">
        <v>5</v>
      </c>
      <c r="CU24" s="12">
        <v>17</v>
      </c>
      <c r="CV24" s="14">
        <v>88930</v>
      </c>
      <c r="CW24" s="12">
        <f t="shared" si="33"/>
        <v>1</v>
      </c>
      <c r="CX24" s="14">
        <f t="shared" si="34"/>
        <v>-1610</v>
      </c>
      <c r="CY24" s="13">
        <f t="shared" si="35"/>
        <v>-1.7782195714601282E-2</v>
      </c>
    </row>
    <row r="25" spans="1:103" s="12" customFormat="1" ht="20" customHeight="1">
      <c r="A25" s="16"/>
      <c r="B25" s="15" t="s">
        <v>4</v>
      </c>
      <c r="C25" s="12">
        <v>11</v>
      </c>
      <c r="D25" s="14">
        <v>450766.66666660993</v>
      </c>
      <c r="F25" s="14"/>
      <c r="G25" s="13"/>
      <c r="I25" s="16"/>
      <c r="J25" s="15" t="s">
        <v>4</v>
      </c>
      <c r="K25" s="12">
        <v>7</v>
      </c>
      <c r="L25" s="14">
        <v>375433.33333329996</v>
      </c>
      <c r="M25" s="12">
        <f t="shared" si="45"/>
        <v>-4</v>
      </c>
      <c r="N25" s="14">
        <f t="shared" si="46"/>
        <v>-75333.333333309973</v>
      </c>
      <c r="O25" s="13">
        <f t="shared" si="47"/>
        <v>-0.16712267987869434</v>
      </c>
      <c r="Q25" s="16"/>
      <c r="R25" s="15" t="s">
        <v>4</v>
      </c>
      <c r="S25" s="12">
        <v>9</v>
      </c>
      <c r="T25" s="14">
        <v>266285.71428568003</v>
      </c>
      <c r="U25" s="12">
        <f t="shared" si="3"/>
        <v>2</v>
      </c>
      <c r="V25" s="14">
        <f t="shared" si="4"/>
        <v>-109147.61904761993</v>
      </c>
      <c r="W25" s="13">
        <f t="shared" si="5"/>
        <v>-0.29072436930026535</v>
      </c>
      <c r="Y25" s="16"/>
      <c r="Z25" s="15" t="s">
        <v>4</v>
      </c>
      <c r="AA25" s="12">
        <v>5</v>
      </c>
      <c r="AB25" s="14">
        <v>157619.04761904001</v>
      </c>
      <c r="AC25" s="12">
        <f t="shared" si="6"/>
        <v>-4</v>
      </c>
      <c r="AD25" s="14">
        <f t="shared" si="7"/>
        <v>-108666.66666664003</v>
      </c>
      <c r="AE25" s="13">
        <f t="shared" si="8"/>
        <v>-0.40808297567949464</v>
      </c>
      <c r="AG25" s="16"/>
      <c r="AH25" s="15" t="s">
        <v>4</v>
      </c>
      <c r="AI25" s="12">
        <v>7</v>
      </c>
      <c r="AJ25" s="14">
        <v>237766.66666665999</v>
      </c>
      <c r="AK25" s="12">
        <f t="shared" si="9"/>
        <v>2</v>
      </c>
      <c r="AL25" s="14">
        <f t="shared" si="10"/>
        <v>80147.619047619984</v>
      </c>
      <c r="AM25" s="13">
        <f t="shared" si="11"/>
        <v>0.50848942598190361</v>
      </c>
      <c r="AO25" s="16"/>
      <c r="AP25" s="15" t="s">
        <v>4</v>
      </c>
      <c r="AQ25" s="12">
        <v>7</v>
      </c>
      <c r="AR25" s="14">
        <v>283723.80952379003</v>
      </c>
      <c r="AS25" s="12">
        <f t="shared" si="12"/>
        <v>0</v>
      </c>
      <c r="AT25" s="14">
        <f t="shared" si="13"/>
        <v>45957.142857130035</v>
      </c>
      <c r="AU25" s="13">
        <f t="shared" si="14"/>
        <v>0.19328673569521096</v>
      </c>
      <c r="AW25" s="16"/>
      <c r="AX25" s="15" t="s">
        <v>4</v>
      </c>
      <c r="AY25" s="12">
        <v>9</v>
      </c>
      <c r="AZ25" s="14">
        <v>333187.61904759001</v>
      </c>
      <c r="BA25" s="12">
        <f t="shared" si="15"/>
        <v>2</v>
      </c>
      <c r="BB25" s="14">
        <f t="shared" si="16"/>
        <v>49463.809523799981</v>
      </c>
      <c r="BC25" s="13">
        <f t="shared" si="17"/>
        <v>0.17433788728137206</v>
      </c>
      <c r="BE25" s="16"/>
      <c r="BF25" s="15" t="s">
        <v>4</v>
      </c>
      <c r="BG25" s="12">
        <v>16</v>
      </c>
      <c r="BH25" s="14">
        <v>572699.04761901998</v>
      </c>
      <c r="BI25" s="12">
        <f t="shared" si="42"/>
        <v>7</v>
      </c>
      <c r="BJ25" s="14">
        <f t="shared" si="43"/>
        <v>239511.42857142998</v>
      </c>
      <c r="BK25" s="13">
        <f t="shared" si="44"/>
        <v>0.71884852521251685</v>
      </c>
      <c r="BM25" s="16"/>
      <c r="BN25" s="15" t="s">
        <v>4</v>
      </c>
      <c r="BO25" s="12">
        <v>5</v>
      </c>
      <c r="BP25" s="14">
        <v>158943.80952379998</v>
      </c>
      <c r="BQ25" s="12">
        <f t="shared" si="21"/>
        <v>-11</v>
      </c>
      <c r="BR25" s="14">
        <f t="shared" si="22"/>
        <v>-413755.23809522</v>
      </c>
      <c r="BS25" s="13">
        <f t="shared" si="23"/>
        <v>-0.72246538529336768</v>
      </c>
      <c r="BU25" s="16"/>
      <c r="BV25" s="15" t="s">
        <v>4</v>
      </c>
      <c r="BW25" s="12">
        <v>12</v>
      </c>
      <c r="BX25" s="14">
        <v>404292.38095238002</v>
      </c>
      <c r="BY25" s="12">
        <f t="shared" si="24"/>
        <v>7</v>
      </c>
      <c r="BZ25" s="14">
        <f t="shared" si="25"/>
        <v>245348.57142858003</v>
      </c>
      <c r="CA25" s="13">
        <f t="shared" si="26"/>
        <v>1.5436182897821003</v>
      </c>
      <c r="CC25" s="16"/>
      <c r="CD25" s="15" t="s">
        <v>4</v>
      </c>
      <c r="CE25" s="12">
        <v>15</v>
      </c>
      <c r="CF25" s="14">
        <v>578309.52380948002</v>
      </c>
      <c r="CG25" s="12">
        <f t="shared" si="27"/>
        <v>3</v>
      </c>
      <c r="CH25" s="14">
        <f t="shared" si="28"/>
        <v>174017.1428571</v>
      </c>
      <c r="CI25" s="13">
        <f t="shared" si="29"/>
        <v>0.43042399771960277</v>
      </c>
      <c r="CK25" s="16"/>
      <c r="CL25" s="15" t="s">
        <v>4</v>
      </c>
      <c r="CM25" s="12">
        <v>11</v>
      </c>
      <c r="CN25" s="14">
        <v>452004.76190473</v>
      </c>
      <c r="CO25" s="12">
        <f t="shared" si="30"/>
        <v>-4</v>
      </c>
      <c r="CP25" s="14">
        <f t="shared" si="31"/>
        <v>-126304.76190475002</v>
      </c>
      <c r="CQ25" s="13">
        <f t="shared" si="32"/>
        <v>-0.21840339248218957</v>
      </c>
      <c r="CS25" s="16"/>
      <c r="CT25" s="15" t="s">
        <v>4</v>
      </c>
      <c r="CU25" s="12">
        <v>7</v>
      </c>
      <c r="CV25" s="14">
        <v>317428.57142854005</v>
      </c>
      <c r="CW25" s="12">
        <f t="shared" si="33"/>
        <v>-4</v>
      </c>
      <c r="CX25" s="14">
        <f t="shared" si="34"/>
        <v>-134576.19047618995</v>
      </c>
      <c r="CY25" s="13">
        <f t="shared" si="35"/>
        <v>-0.29773179802153249</v>
      </c>
    </row>
    <row r="26" spans="1:103" s="12" customFormat="1" ht="20" customHeight="1">
      <c r="A26" s="16"/>
      <c r="B26" s="15" t="s">
        <v>3</v>
      </c>
      <c r="C26" s="12">
        <v>49</v>
      </c>
      <c r="D26" s="14">
        <v>913190.47619039007</v>
      </c>
      <c r="F26" s="14"/>
      <c r="G26" s="13"/>
      <c r="I26" s="16"/>
      <c r="J26" s="15" t="s">
        <v>3</v>
      </c>
      <c r="K26" s="12">
        <v>45</v>
      </c>
      <c r="L26" s="14">
        <v>840799.9999998901</v>
      </c>
      <c r="M26" s="12">
        <f t="shared" si="45"/>
        <v>-4</v>
      </c>
      <c r="N26" s="14">
        <f t="shared" si="46"/>
        <v>-72390.476190499961</v>
      </c>
      <c r="O26" s="13">
        <f t="shared" si="47"/>
        <v>-7.9272044636838013E-2</v>
      </c>
      <c r="Q26" s="16"/>
      <c r="R26" s="15" t="s">
        <v>3</v>
      </c>
      <c r="S26" s="12">
        <v>22</v>
      </c>
      <c r="T26" s="14">
        <v>429666.66666660999</v>
      </c>
      <c r="U26" s="12">
        <f t="shared" si="3"/>
        <v>-23</v>
      </c>
      <c r="V26" s="14">
        <f t="shared" si="4"/>
        <v>-411133.33333328011</v>
      </c>
      <c r="W26" s="13">
        <f t="shared" si="5"/>
        <v>-0.48897875039644845</v>
      </c>
      <c r="Y26" s="16"/>
      <c r="Z26" s="15" t="s">
        <v>3</v>
      </c>
      <c r="AA26" s="12">
        <v>43</v>
      </c>
      <c r="AB26" s="14">
        <v>730809.52380943007</v>
      </c>
      <c r="AC26" s="12">
        <f t="shared" si="6"/>
        <v>21</v>
      </c>
      <c r="AD26" s="14">
        <f t="shared" si="7"/>
        <v>301142.85714282008</v>
      </c>
      <c r="AE26" s="13">
        <f t="shared" si="8"/>
        <v>0.70087554028594212</v>
      </c>
      <c r="AG26" s="16"/>
      <c r="AH26" s="15" t="s">
        <v>3</v>
      </c>
      <c r="AI26" s="12">
        <v>32</v>
      </c>
      <c r="AJ26" s="14">
        <v>563952.38095228001</v>
      </c>
      <c r="AK26" s="12">
        <f t="shared" si="9"/>
        <v>-11</v>
      </c>
      <c r="AL26" s="14">
        <f t="shared" si="10"/>
        <v>-166857.14285715006</v>
      </c>
      <c r="AM26" s="13">
        <f t="shared" si="11"/>
        <v>-0.22831823809217441</v>
      </c>
      <c r="AO26" s="16"/>
      <c r="AP26" s="15" t="s">
        <v>3</v>
      </c>
      <c r="AQ26" s="12">
        <v>27</v>
      </c>
      <c r="AR26" s="14">
        <v>489904.76190468</v>
      </c>
      <c r="AS26" s="12">
        <f t="shared" si="12"/>
        <v>-5</v>
      </c>
      <c r="AT26" s="14">
        <f t="shared" si="13"/>
        <v>-74047.619047600019</v>
      </c>
      <c r="AU26" s="13">
        <f t="shared" si="14"/>
        <v>-0.13130119057670175</v>
      </c>
      <c r="AW26" s="16"/>
      <c r="AX26" s="15" t="s">
        <v>3</v>
      </c>
      <c r="AY26" s="12">
        <v>50</v>
      </c>
      <c r="AZ26" s="14">
        <v>793095.23809513007</v>
      </c>
      <c r="BA26" s="12">
        <f t="shared" si="15"/>
        <v>23</v>
      </c>
      <c r="BB26" s="14">
        <f t="shared" si="16"/>
        <v>303190.47619045008</v>
      </c>
      <c r="BC26" s="13">
        <f t="shared" si="17"/>
        <v>0.6188763608087593</v>
      </c>
      <c r="BE26" s="16"/>
      <c r="BF26" s="15" t="s">
        <v>3</v>
      </c>
      <c r="BG26" s="12">
        <v>41</v>
      </c>
      <c r="BH26" s="14">
        <v>594714.28571418999</v>
      </c>
      <c r="BI26" s="12">
        <f t="shared" si="42"/>
        <v>-9</v>
      </c>
      <c r="BJ26" s="14">
        <f t="shared" si="43"/>
        <v>-198380.95238094009</v>
      </c>
      <c r="BK26" s="13">
        <f t="shared" si="44"/>
        <v>-0.25013509456621491</v>
      </c>
      <c r="BM26" s="16"/>
      <c r="BN26" s="15" t="s">
        <v>3</v>
      </c>
      <c r="BO26" s="12">
        <v>49</v>
      </c>
      <c r="BP26" s="14">
        <v>852714.28571422002</v>
      </c>
      <c r="BQ26" s="12">
        <f t="shared" si="21"/>
        <v>8</v>
      </c>
      <c r="BR26" s="14">
        <f t="shared" si="22"/>
        <v>258000.00000003004</v>
      </c>
      <c r="BS26" s="13">
        <f t="shared" si="23"/>
        <v>0.43382176315169374</v>
      </c>
      <c r="BU26" s="16"/>
      <c r="BV26" s="15" t="s">
        <v>3</v>
      </c>
      <c r="BW26" s="12">
        <v>48</v>
      </c>
      <c r="BX26" s="14">
        <v>816761.90476183</v>
      </c>
      <c r="BY26" s="12">
        <f t="shared" si="24"/>
        <v>-1</v>
      </c>
      <c r="BZ26" s="14">
        <f t="shared" si="25"/>
        <v>-35952.380952390027</v>
      </c>
      <c r="CA26" s="13">
        <f t="shared" si="26"/>
        <v>-4.2162282906139985E-2</v>
      </c>
      <c r="CC26" s="16"/>
      <c r="CD26" s="15" t="s">
        <v>3</v>
      </c>
      <c r="CE26" s="12">
        <v>32</v>
      </c>
      <c r="CF26" s="14">
        <v>670761.90476183011</v>
      </c>
      <c r="CG26" s="12">
        <f t="shared" si="27"/>
        <v>-16</v>
      </c>
      <c r="CH26" s="14">
        <f t="shared" si="28"/>
        <v>-145999.99999999988</v>
      </c>
      <c r="CI26" s="13">
        <f t="shared" si="29"/>
        <v>-0.1787546641791207</v>
      </c>
      <c r="CK26" s="16"/>
      <c r="CL26" s="15" t="s">
        <v>3</v>
      </c>
      <c r="CM26" s="12">
        <v>38</v>
      </c>
      <c r="CN26" s="14">
        <v>648285.71428566007</v>
      </c>
      <c r="CO26" s="12">
        <f t="shared" si="30"/>
        <v>6</v>
      </c>
      <c r="CP26" s="14">
        <f t="shared" si="31"/>
        <v>-22476.190476170043</v>
      </c>
      <c r="CQ26" s="13">
        <f t="shared" si="32"/>
        <v>-3.3508448104474189E-2</v>
      </c>
      <c r="CS26" s="16"/>
      <c r="CT26" s="15" t="s">
        <v>3</v>
      </c>
      <c r="CU26" s="12">
        <v>49</v>
      </c>
      <c r="CV26" s="14">
        <v>889047.6190475201</v>
      </c>
      <c r="CW26" s="12">
        <f t="shared" si="33"/>
        <v>11</v>
      </c>
      <c r="CX26" s="14">
        <f t="shared" si="34"/>
        <v>240761.90476186003</v>
      </c>
      <c r="CY26" s="13">
        <f t="shared" si="35"/>
        <v>0.37138240047006638</v>
      </c>
    </row>
    <row r="27" spans="1:103" s="12" customFormat="1" ht="20" customHeight="1">
      <c r="A27" s="16"/>
      <c r="B27" s="15" t="s">
        <v>2</v>
      </c>
      <c r="C27" s="12">
        <v>47</v>
      </c>
      <c r="D27" s="14">
        <v>2055523.8095237501</v>
      </c>
      <c r="F27" s="14"/>
      <c r="G27" s="13"/>
      <c r="I27" s="16"/>
      <c r="J27" s="15" t="s">
        <v>2</v>
      </c>
      <c r="K27" s="12">
        <v>42</v>
      </c>
      <c r="L27" s="14">
        <v>1390874.28571424</v>
      </c>
      <c r="M27" s="12">
        <f t="shared" si="45"/>
        <v>-5</v>
      </c>
      <c r="N27" s="14">
        <f t="shared" si="46"/>
        <v>-664649.52380951005</v>
      </c>
      <c r="O27" s="13">
        <f t="shared" si="47"/>
        <v>-0.32334800537460301</v>
      </c>
      <c r="Q27" s="16"/>
      <c r="R27" s="15" t="s">
        <v>2</v>
      </c>
      <c r="S27" s="12">
        <v>97</v>
      </c>
      <c r="T27" s="14">
        <v>3638380.9523809003</v>
      </c>
      <c r="U27" s="12">
        <f t="shared" si="3"/>
        <v>55</v>
      </c>
      <c r="V27" s="14">
        <f t="shared" si="4"/>
        <v>2247506.6666666605</v>
      </c>
      <c r="W27" s="13">
        <f t="shared" si="5"/>
        <v>1.6158949013228205</v>
      </c>
      <c r="Y27" s="16"/>
      <c r="Z27" s="15" t="s">
        <v>2</v>
      </c>
      <c r="AA27" s="12">
        <v>137</v>
      </c>
      <c r="AB27" s="14">
        <v>5705047.61904753</v>
      </c>
      <c r="AC27" s="12">
        <f t="shared" si="6"/>
        <v>40</v>
      </c>
      <c r="AD27" s="14">
        <f t="shared" si="7"/>
        <v>2066666.6666666297</v>
      </c>
      <c r="AE27" s="13">
        <f t="shared" si="8"/>
        <v>0.5680182184645165</v>
      </c>
      <c r="AG27" s="16"/>
      <c r="AH27" s="15" t="s">
        <v>2</v>
      </c>
      <c r="AI27" s="12">
        <v>146</v>
      </c>
      <c r="AJ27" s="14">
        <v>5341333.3333332594</v>
      </c>
      <c r="AK27" s="12">
        <f t="shared" si="9"/>
        <v>9</v>
      </c>
      <c r="AL27" s="14">
        <f t="shared" si="10"/>
        <v>-363714.28571427055</v>
      </c>
      <c r="AM27" s="13">
        <f t="shared" si="11"/>
        <v>-6.375306745905715E-2</v>
      </c>
      <c r="AO27" s="16"/>
      <c r="AP27" s="15" t="s">
        <v>2</v>
      </c>
      <c r="AQ27" s="12">
        <v>203</v>
      </c>
      <c r="AR27" s="14">
        <v>8093999.9999999497</v>
      </c>
      <c r="AS27" s="12">
        <f t="shared" si="12"/>
        <v>57</v>
      </c>
      <c r="AT27" s="14">
        <f t="shared" si="13"/>
        <v>2752666.6666666903</v>
      </c>
      <c r="AU27" s="13">
        <f t="shared" si="14"/>
        <v>0.5153519720419486</v>
      </c>
      <c r="AW27" s="16"/>
      <c r="AX27" s="15" t="s">
        <v>2</v>
      </c>
      <c r="AY27" s="12">
        <v>162</v>
      </c>
      <c r="AZ27" s="14">
        <v>6212190.4761904199</v>
      </c>
      <c r="BA27" s="12">
        <f t="shared" si="15"/>
        <v>-41</v>
      </c>
      <c r="BB27" s="14">
        <f t="shared" si="16"/>
        <v>-1881809.5238095298</v>
      </c>
      <c r="BC27" s="13">
        <f t="shared" si="17"/>
        <v>-0.2324943814936424</v>
      </c>
      <c r="BE27" s="16"/>
      <c r="BF27" s="15" t="s">
        <v>2</v>
      </c>
      <c r="BG27" s="12">
        <v>208</v>
      </c>
      <c r="BH27" s="14">
        <v>7777809.5238094311</v>
      </c>
      <c r="BI27" s="12">
        <f t="shared" si="42"/>
        <v>46</v>
      </c>
      <c r="BJ27" s="14">
        <f t="shared" si="43"/>
        <v>1565619.0476190113</v>
      </c>
      <c r="BK27" s="13">
        <f t="shared" si="44"/>
        <v>0.25202367081621035</v>
      </c>
      <c r="BM27" s="16"/>
      <c r="BN27" s="15" t="s">
        <v>2</v>
      </c>
      <c r="BO27" s="12">
        <v>119</v>
      </c>
      <c r="BP27" s="14">
        <v>4528872.3809522996</v>
      </c>
      <c r="BQ27" s="12">
        <f t="shared" si="21"/>
        <v>-89</v>
      </c>
      <c r="BR27" s="14">
        <f t="shared" si="22"/>
        <v>-3248937.1428571315</v>
      </c>
      <c r="BS27" s="13">
        <f t="shared" si="23"/>
        <v>-0.41771878482128999</v>
      </c>
      <c r="BU27" s="16"/>
      <c r="BV27" s="15" t="s">
        <v>2</v>
      </c>
      <c r="BW27" s="12">
        <v>152</v>
      </c>
      <c r="BX27" s="14">
        <v>5663375.2380951596</v>
      </c>
      <c r="BY27" s="12">
        <f t="shared" si="24"/>
        <v>33</v>
      </c>
      <c r="BZ27" s="14">
        <f t="shared" si="25"/>
        <v>1134502.8571428601</v>
      </c>
      <c r="CA27" s="13">
        <f t="shared" si="26"/>
        <v>0.25050448802982273</v>
      </c>
      <c r="CC27" s="16"/>
      <c r="CD27" s="15" t="s">
        <v>2</v>
      </c>
      <c r="CE27" s="12">
        <v>149</v>
      </c>
      <c r="CF27" s="14">
        <v>5597125.71428564</v>
      </c>
      <c r="CG27" s="12">
        <f t="shared" si="27"/>
        <v>-3</v>
      </c>
      <c r="CH27" s="14">
        <f t="shared" si="28"/>
        <v>-66249.523809519596</v>
      </c>
      <c r="CI27" s="13">
        <f t="shared" si="29"/>
        <v>-1.1697887041615522E-2</v>
      </c>
      <c r="CK27" s="16"/>
      <c r="CL27" s="15" t="s">
        <v>2</v>
      </c>
      <c r="CM27" s="12">
        <v>89</v>
      </c>
      <c r="CN27" s="14">
        <v>3280095.2380951797</v>
      </c>
      <c r="CO27" s="12">
        <f t="shared" si="30"/>
        <v>-60</v>
      </c>
      <c r="CP27" s="14">
        <f t="shared" si="31"/>
        <v>-2317030.4761904604</v>
      </c>
      <c r="CQ27" s="13">
        <f t="shared" si="32"/>
        <v>-0.41396791754679796</v>
      </c>
      <c r="CS27" s="16"/>
      <c r="CT27" s="15" t="s">
        <v>2</v>
      </c>
      <c r="CU27" s="12">
        <v>131</v>
      </c>
      <c r="CV27" s="14">
        <v>4950411.4285713499</v>
      </c>
      <c r="CW27" s="12">
        <f t="shared" si="33"/>
        <v>42</v>
      </c>
      <c r="CX27" s="14">
        <f t="shared" si="34"/>
        <v>1670316.1904761703</v>
      </c>
      <c r="CY27" s="13">
        <f t="shared" si="35"/>
        <v>0.50922795505357277</v>
      </c>
    </row>
    <row r="28" spans="1:103" s="1" customFormat="1" ht="20" customHeight="1">
      <c r="A28" s="11" t="s">
        <v>13</v>
      </c>
      <c r="B28" s="11"/>
      <c r="C28" s="10">
        <v>689</v>
      </c>
      <c r="D28" s="9">
        <v>5177999.5238082204</v>
      </c>
      <c r="E28" s="29"/>
      <c r="F28" s="30"/>
      <c r="G28" s="31"/>
      <c r="I28" s="11" t="s">
        <v>13</v>
      </c>
      <c r="J28" s="11"/>
      <c r="K28" s="10">
        <v>691</v>
      </c>
      <c r="L28" s="9">
        <v>4236216.6666653296</v>
      </c>
      <c r="M28" s="10">
        <f t="shared" si="39"/>
        <v>2</v>
      </c>
      <c r="N28" s="9">
        <f t="shared" si="40"/>
        <v>-941782.8571428908</v>
      </c>
      <c r="O28" s="8">
        <f t="shared" si="41"/>
        <v>-0.18188160366037376</v>
      </c>
      <c r="Q28" s="11" t="s">
        <v>13</v>
      </c>
      <c r="R28" s="11"/>
      <c r="S28" s="10">
        <v>647</v>
      </c>
      <c r="T28" s="9">
        <v>5656343.3333323002</v>
      </c>
      <c r="U28" s="10">
        <f t="shared" si="3"/>
        <v>-44</v>
      </c>
      <c r="V28" s="9">
        <f t="shared" si="4"/>
        <v>1420126.6666669706</v>
      </c>
      <c r="W28" s="8">
        <f t="shared" si="5"/>
        <v>0.33523466300529614</v>
      </c>
      <c r="Y28" s="11" t="s">
        <v>13</v>
      </c>
      <c r="Z28" s="11"/>
      <c r="AA28" s="10">
        <v>743</v>
      </c>
      <c r="AB28" s="9">
        <v>7832318.0952367894</v>
      </c>
      <c r="AC28" s="10">
        <f t="shared" si="6"/>
        <v>96</v>
      </c>
      <c r="AD28" s="9">
        <f t="shared" si="7"/>
        <v>2175974.7619044892</v>
      </c>
      <c r="AE28" s="8">
        <f t="shared" si="8"/>
        <v>0.38469637249239702</v>
      </c>
      <c r="AG28" s="11" t="s">
        <v>13</v>
      </c>
      <c r="AH28" s="11"/>
      <c r="AI28" s="10">
        <v>680</v>
      </c>
      <c r="AJ28" s="9">
        <v>7316920.4761892892</v>
      </c>
      <c r="AK28" s="10">
        <f t="shared" si="9"/>
        <v>-63</v>
      </c>
      <c r="AL28" s="9">
        <f t="shared" si="10"/>
        <v>-515397.61904750019</v>
      </c>
      <c r="AM28" s="8">
        <f t="shared" si="11"/>
        <v>-6.5803969243912394E-2</v>
      </c>
      <c r="AO28" s="11" t="s">
        <v>13</v>
      </c>
      <c r="AP28" s="11"/>
      <c r="AQ28" s="10">
        <v>798</v>
      </c>
      <c r="AR28" s="9">
        <v>10219666.190475021</v>
      </c>
      <c r="AS28" s="10">
        <f t="shared" si="12"/>
        <v>118</v>
      </c>
      <c r="AT28" s="9">
        <f t="shared" si="13"/>
        <v>2902745.7142857313</v>
      </c>
      <c r="AU28" s="8">
        <f t="shared" si="14"/>
        <v>0.3967168597406302</v>
      </c>
      <c r="AW28" s="11" t="s">
        <v>13</v>
      </c>
      <c r="AX28" s="11"/>
      <c r="AY28" s="10">
        <v>896</v>
      </c>
      <c r="AZ28" s="9">
        <v>8963400.4761891197</v>
      </c>
      <c r="BA28" s="10">
        <f t="shared" si="15"/>
        <v>98</v>
      </c>
      <c r="BB28" s="9">
        <f t="shared" si="16"/>
        <v>-1256265.7142859008</v>
      </c>
      <c r="BC28" s="8">
        <f t="shared" si="17"/>
        <v>-0.12292629630670043</v>
      </c>
      <c r="BE28" s="11" t="s">
        <v>13</v>
      </c>
      <c r="BF28" s="11"/>
      <c r="BG28" s="10">
        <v>1022</v>
      </c>
      <c r="BH28" s="9">
        <v>11352464.76190329</v>
      </c>
      <c r="BI28" s="29">
        <f t="shared" si="42"/>
        <v>126</v>
      </c>
      <c r="BJ28" s="30">
        <f t="shared" si="43"/>
        <v>2389064.28571417</v>
      </c>
      <c r="BK28" s="31">
        <f t="shared" si="44"/>
        <v>0.26653548416815853</v>
      </c>
      <c r="BM28" s="11" t="s">
        <v>13</v>
      </c>
      <c r="BN28" s="11"/>
      <c r="BO28" s="10">
        <v>724</v>
      </c>
      <c r="BP28" s="9">
        <v>7263279.5238084495</v>
      </c>
      <c r="BQ28" s="29">
        <f t="shared" si="21"/>
        <v>-298</v>
      </c>
      <c r="BR28" s="30">
        <f t="shared" si="22"/>
        <v>-4089185.2380948402</v>
      </c>
      <c r="BS28" s="31">
        <f t="shared" si="23"/>
        <v>-0.36020241629089811</v>
      </c>
      <c r="BU28" s="11" t="s">
        <v>13</v>
      </c>
      <c r="BV28" s="11"/>
      <c r="BW28" s="10">
        <v>821</v>
      </c>
      <c r="BX28" s="9">
        <v>8494783.8095226288</v>
      </c>
      <c r="BY28" s="29">
        <f t="shared" si="24"/>
        <v>97</v>
      </c>
      <c r="BZ28" s="30">
        <f t="shared" si="25"/>
        <v>1231504.2857141793</v>
      </c>
      <c r="CA28" s="31">
        <f t="shared" si="26"/>
        <v>0.16955209856338405</v>
      </c>
      <c r="CC28" s="11" t="s">
        <v>13</v>
      </c>
      <c r="CD28" s="11"/>
      <c r="CE28" s="10">
        <v>844</v>
      </c>
      <c r="CF28" s="9">
        <v>8287305.2380938502</v>
      </c>
      <c r="CG28" s="29">
        <f t="shared" si="27"/>
        <v>23</v>
      </c>
      <c r="CH28" s="30">
        <f t="shared" si="28"/>
        <v>-207478.57142877858</v>
      </c>
      <c r="CI28" s="31">
        <f t="shared" si="29"/>
        <v>-2.4424232103022525E-2</v>
      </c>
      <c r="CK28" s="11" t="s">
        <v>13</v>
      </c>
      <c r="CL28" s="11"/>
      <c r="CM28" s="10">
        <v>679</v>
      </c>
      <c r="CN28" s="9">
        <v>5830934.2857132591</v>
      </c>
      <c r="CO28" s="29">
        <f t="shared" si="30"/>
        <v>-165</v>
      </c>
      <c r="CP28" s="30">
        <f t="shared" si="31"/>
        <v>-2456370.9523805911</v>
      </c>
      <c r="CQ28" s="31">
        <f t="shared" si="32"/>
        <v>-0.29640165069454799</v>
      </c>
      <c r="CS28" s="11" t="s">
        <v>13</v>
      </c>
      <c r="CT28" s="11"/>
      <c r="CU28" s="10">
        <v>766</v>
      </c>
      <c r="CV28" s="9">
        <v>7862738.5714273807</v>
      </c>
      <c r="CW28" s="29">
        <f t="shared" si="33"/>
        <v>87</v>
      </c>
      <c r="CX28" s="30">
        <f t="shared" si="34"/>
        <v>2031804.2857141215</v>
      </c>
      <c r="CY28" s="31">
        <f t="shared" si="35"/>
        <v>0.3484526125928693</v>
      </c>
    </row>
    <row r="29" spans="1:103" s="1" customFormat="1" ht="20" customHeight="1">
      <c r="A29" s="16">
        <v>77</v>
      </c>
      <c r="B29" s="35" t="s">
        <v>32</v>
      </c>
      <c r="C29" s="1">
        <v>10774</v>
      </c>
      <c r="D29" s="38"/>
      <c r="E29" s="12"/>
      <c r="F29" s="14"/>
      <c r="G29" s="39"/>
      <c r="I29" s="16">
        <v>77</v>
      </c>
      <c r="J29" s="35" t="s">
        <v>32</v>
      </c>
      <c r="K29" s="1">
        <v>11459</v>
      </c>
      <c r="L29" s="38"/>
      <c r="M29" s="12">
        <f t="shared" si="39"/>
        <v>685</v>
      </c>
      <c r="N29" s="14">
        <f t="shared" si="40"/>
        <v>0</v>
      </c>
      <c r="O29" s="13" t="e">
        <f t="shared" si="41"/>
        <v>#DIV/0!</v>
      </c>
      <c r="Q29" s="16">
        <v>77</v>
      </c>
      <c r="R29" s="35" t="s">
        <v>32</v>
      </c>
      <c r="S29" s="1">
        <v>5780</v>
      </c>
      <c r="T29" s="38"/>
      <c r="U29" s="12">
        <f t="shared" si="3"/>
        <v>-5679</v>
      </c>
      <c r="V29" s="14">
        <f t="shared" si="4"/>
        <v>0</v>
      </c>
      <c r="W29" s="13" t="e">
        <f t="shared" si="5"/>
        <v>#DIV/0!</v>
      </c>
      <c r="Y29" s="16">
        <v>77</v>
      </c>
      <c r="Z29" s="35" t="s">
        <v>32</v>
      </c>
      <c r="AA29" s="1">
        <v>7326</v>
      </c>
      <c r="AB29" s="38"/>
      <c r="AC29" s="12">
        <f t="shared" si="6"/>
        <v>1546</v>
      </c>
      <c r="AD29" s="14">
        <f t="shared" si="7"/>
        <v>0</v>
      </c>
      <c r="AE29" s="13" t="e">
        <f t="shared" si="8"/>
        <v>#DIV/0!</v>
      </c>
      <c r="AG29" s="16">
        <v>77</v>
      </c>
      <c r="AH29" s="35" t="s">
        <v>32</v>
      </c>
      <c r="AI29" s="1">
        <v>4728</v>
      </c>
      <c r="AJ29" s="38"/>
      <c r="AK29" s="12">
        <f t="shared" si="9"/>
        <v>-2598</v>
      </c>
      <c r="AL29" s="14">
        <f t="shared" si="10"/>
        <v>0</v>
      </c>
      <c r="AM29" s="13" t="e">
        <f t="shared" si="11"/>
        <v>#DIV/0!</v>
      </c>
      <c r="AO29" s="16">
        <v>77</v>
      </c>
      <c r="AP29" s="35" t="s">
        <v>32</v>
      </c>
      <c r="AQ29" s="1">
        <v>5306</v>
      </c>
      <c r="AR29" s="38"/>
      <c r="AS29" s="12">
        <f t="shared" si="12"/>
        <v>578</v>
      </c>
      <c r="AT29" s="14">
        <f t="shared" si="13"/>
        <v>0</v>
      </c>
      <c r="AU29" s="13" t="e">
        <f t="shared" si="14"/>
        <v>#DIV/0!</v>
      </c>
      <c r="AW29" s="16">
        <v>77</v>
      </c>
      <c r="AX29" s="35" t="s">
        <v>32</v>
      </c>
      <c r="AY29" s="1">
        <v>5342</v>
      </c>
      <c r="AZ29" s="38"/>
      <c r="BA29" s="12">
        <f t="shared" si="15"/>
        <v>36</v>
      </c>
      <c r="BB29" s="14">
        <f t="shared" si="16"/>
        <v>0</v>
      </c>
      <c r="BC29" s="13" t="e">
        <f t="shared" si="17"/>
        <v>#DIV/0!</v>
      </c>
      <c r="BE29" s="16">
        <v>77</v>
      </c>
      <c r="BF29" s="35" t="s">
        <v>32</v>
      </c>
      <c r="BG29" s="17">
        <v>4911</v>
      </c>
      <c r="BH29" s="36"/>
      <c r="BI29" s="12">
        <f t="shared" si="42"/>
        <v>-431</v>
      </c>
      <c r="BJ29" s="14">
        <f t="shared" si="43"/>
        <v>0</v>
      </c>
      <c r="BK29" s="13" t="e">
        <f t="shared" si="44"/>
        <v>#DIV/0!</v>
      </c>
      <c r="BM29" s="16">
        <v>77</v>
      </c>
      <c r="BN29" s="35" t="s">
        <v>32</v>
      </c>
      <c r="BO29" s="17">
        <v>4669</v>
      </c>
      <c r="BP29" s="36"/>
      <c r="BQ29" s="12">
        <f t="shared" si="21"/>
        <v>-242</v>
      </c>
      <c r="BR29" s="14">
        <f t="shared" si="22"/>
        <v>0</v>
      </c>
      <c r="BS29" s="13" t="e">
        <f t="shared" si="23"/>
        <v>#DIV/0!</v>
      </c>
      <c r="BU29" s="16">
        <v>77</v>
      </c>
      <c r="BV29" s="35" t="s">
        <v>32</v>
      </c>
      <c r="BW29" s="17">
        <v>3823</v>
      </c>
      <c r="BX29" s="36"/>
      <c r="BY29" s="12">
        <f t="shared" si="24"/>
        <v>-846</v>
      </c>
      <c r="BZ29" s="14">
        <f t="shared" si="25"/>
        <v>0</v>
      </c>
      <c r="CA29" s="13" t="e">
        <f t="shared" si="26"/>
        <v>#DIV/0!</v>
      </c>
      <c r="CC29" s="16">
        <v>77</v>
      </c>
      <c r="CD29" s="35" t="s">
        <v>32</v>
      </c>
      <c r="CE29" s="17">
        <v>4032</v>
      </c>
      <c r="CF29" s="36"/>
      <c r="CG29" s="12">
        <f t="shared" si="27"/>
        <v>209</v>
      </c>
      <c r="CH29" s="14">
        <f t="shared" si="28"/>
        <v>0</v>
      </c>
      <c r="CI29" s="13" t="e">
        <f t="shared" si="29"/>
        <v>#DIV/0!</v>
      </c>
      <c r="CK29" s="16">
        <v>77</v>
      </c>
      <c r="CL29" s="35" t="s">
        <v>32</v>
      </c>
      <c r="CM29" s="17">
        <v>3376</v>
      </c>
      <c r="CN29" s="36"/>
      <c r="CO29" s="12">
        <f t="shared" si="30"/>
        <v>-656</v>
      </c>
      <c r="CP29" s="14">
        <f t="shared" si="31"/>
        <v>0</v>
      </c>
      <c r="CQ29" s="13" t="e">
        <f t="shared" si="32"/>
        <v>#DIV/0!</v>
      </c>
      <c r="CS29" s="16">
        <v>77</v>
      </c>
      <c r="CT29" s="35" t="s">
        <v>32</v>
      </c>
      <c r="CU29" s="17">
        <v>4507</v>
      </c>
      <c r="CV29" s="36"/>
      <c r="CW29" s="12">
        <f t="shared" si="33"/>
        <v>1131</v>
      </c>
      <c r="CX29" s="14">
        <f t="shared" si="34"/>
        <v>0</v>
      </c>
      <c r="CY29" s="13" t="e">
        <f t="shared" si="35"/>
        <v>#DIV/0!</v>
      </c>
    </row>
    <row r="30" spans="1:103" s="1" customFormat="1" ht="20" customHeight="1">
      <c r="A30" s="16"/>
      <c r="B30" s="35" t="s">
        <v>33</v>
      </c>
      <c r="C30" s="1">
        <v>13</v>
      </c>
      <c r="D30" s="38"/>
      <c r="E30" s="12"/>
      <c r="F30" s="14"/>
      <c r="G30" s="39"/>
      <c r="I30" s="16"/>
      <c r="J30" s="35" t="s">
        <v>33</v>
      </c>
      <c r="K30" s="1">
        <v>4</v>
      </c>
      <c r="L30" s="38"/>
      <c r="M30" s="12">
        <f t="shared" si="39"/>
        <v>-9</v>
      </c>
      <c r="N30" s="14">
        <f t="shared" si="40"/>
        <v>0</v>
      </c>
      <c r="O30" s="13" t="e">
        <f t="shared" si="41"/>
        <v>#DIV/0!</v>
      </c>
      <c r="Q30" s="16"/>
      <c r="R30" s="35" t="s">
        <v>33</v>
      </c>
      <c r="S30" s="1">
        <v>8</v>
      </c>
      <c r="T30" s="38"/>
      <c r="U30" s="12">
        <f t="shared" si="3"/>
        <v>4</v>
      </c>
      <c r="V30" s="14">
        <f t="shared" si="4"/>
        <v>0</v>
      </c>
      <c r="W30" s="13" t="e">
        <f t="shared" si="5"/>
        <v>#DIV/0!</v>
      </c>
      <c r="Y30" s="16"/>
      <c r="Z30" s="35" t="s">
        <v>33</v>
      </c>
      <c r="AA30" s="1">
        <v>9</v>
      </c>
      <c r="AB30" s="38"/>
      <c r="AC30" s="12">
        <f t="shared" si="6"/>
        <v>1</v>
      </c>
      <c r="AD30" s="14">
        <f t="shared" si="7"/>
        <v>0</v>
      </c>
      <c r="AE30" s="13" t="e">
        <f t="shared" si="8"/>
        <v>#DIV/0!</v>
      </c>
      <c r="AG30" s="16"/>
      <c r="AH30" s="35" t="s">
        <v>33</v>
      </c>
      <c r="AI30" s="1">
        <v>15</v>
      </c>
      <c r="AJ30" s="38"/>
      <c r="AK30" s="12">
        <f t="shared" si="9"/>
        <v>6</v>
      </c>
      <c r="AL30" s="14">
        <f t="shared" si="10"/>
        <v>0</v>
      </c>
      <c r="AM30" s="13" t="e">
        <f t="shared" si="11"/>
        <v>#DIV/0!</v>
      </c>
      <c r="AO30" s="16"/>
      <c r="AP30" s="35" t="s">
        <v>33</v>
      </c>
      <c r="AQ30" s="1">
        <v>23</v>
      </c>
      <c r="AR30" s="38"/>
      <c r="AS30" s="12">
        <f t="shared" si="12"/>
        <v>8</v>
      </c>
      <c r="AT30" s="14">
        <f t="shared" si="13"/>
        <v>0</v>
      </c>
      <c r="AU30" s="13" t="e">
        <f t="shared" si="14"/>
        <v>#DIV/0!</v>
      </c>
      <c r="AW30" s="16"/>
      <c r="AX30" s="35" t="s">
        <v>33</v>
      </c>
      <c r="AY30" s="1">
        <v>8</v>
      </c>
      <c r="AZ30" s="38"/>
      <c r="BA30" s="12">
        <f t="shared" si="15"/>
        <v>-15</v>
      </c>
      <c r="BB30" s="14">
        <f t="shared" si="16"/>
        <v>0</v>
      </c>
      <c r="BC30" s="13" t="e">
        <f t="shared" si="17"/>
        <v>#DIV/0!</v>
      </c>
      <c r="BE30" s="16"/>
      <c r="BF30" s="35" t="s">
        <v>33</v>
      </c>
      <c r="BG30" s="17">
        <v>15</v>
      </c>
      <c r="BH30" s="36"/>
      <c r="BI30" s="12">
        <f t="shared" si="42"/>
        <v>7</v>
      </c>
      <c r="BJ30" s="14">
        <f t="shared" si="43"/>
        <v>0</v>
      </c>
      <c r="BK30" s="13" t="e">
        <f t="shared" si="44"/>
        <v>#DIV/0!</v>
      </c>
      <c r="BM30" s="16"/>
      <c r="BN30" s="35" t="s">
        <v>33</v>
      </c>
      <c r="BO30" s="17">
        <v>13</v>
      </c>
      <c r="BP30" s="36"/>
      <c r="BQ30" s="12">
        <f t="shared" si="21"/>
        <v>-2</v>
      </c>
      <c r="BR30" s="14">
        <f t="shared" si="22"/>
        <v>0</v>
      </c>
      <c r="BS30" s="13" t="e">
        <f t="shared" si="23"/>
        <v>#DIV/0!</v>
      </c>
      <c r="BU30" s="16"/>
      <c r="BV30" s="35" t="s">
        <v>33</v>
      </c>
      <c r="BW30" s="17">
        <v>6</v>
      </c>
      <c r="BX30" s="36"/>
      <c r="BY30" s="12">
        <f t="shared" si="24"/>
        <v>-7</v>
      </c>
      <c r="BZ30" s="14">
        <f t="shared" si="25"/>
        <v>0</v>
      </c>
      <c r="CA30" s="13" t="e">
        <f t="shared" si="26"/>
        <v>#DIV/0!</v>
      </c>
      <c r="CC30" s="16"/>
      <c r="CD30" s="35" t="s">
        <v>33</v>
      </c>
      <c r="CE30" s="17">
        <v>4</v>
      </c>
      <c r="CF30" s="36"/>
      <c r="CG30" s="12">
        <f t="shared" si="27"/>
        <v>-2</v>
      </c>
      <c r="CH30" s="14">
        <f t="shared" si="28"/>
        <v>0</v>
      </c>
      <c r="CI30" s="13" t="e">
        <f t="shared" si="29"/>
        <v>#DIV/0!</v>
      </c>
      <c r="CK30" s="16"/>
      <c r="CL30" s="35" t="s">
        <v>33</v>
      </c>
      <c r="CM30" s="17">
        <v>5</v>
      </c>
      <c r="CN30" s="36"/>
      <c r="CO30" s="12">
        <f t="shared" si="30"/>
        <v>1</v>
      </c>
      <c r="CP30" s="14">
        <f t="shared" si="31"/>
        <v>0</v>
      </c>
      <c r="CQ30" s="13" t="e">
        <f t="shared" si="32"/>
        <v>#DIV/0!</v>
      </c>
      <c r="CS30" s="16"/>
      <c r="CT30" s="35" t="s">
        <v>33</v>
      </c>
      <c r="CU30" s="17">
        <v>7</v>
      </c>
      <c r="CV30" s="36"/>
      <c r="CW30" s="12">
        <f t="shared" si="33"/>
        <v>2</v>
      </c>
      <c r="CX30" s="14">
        <f t="shared" si="34"/>
        <v>0</v>
      </c>
      <c r="CY30" s="13" t="e">
        <f t="shared" si="35"/>
        <v>#DIV/0!</v>
      </c>
    </row>
    <row r="31" spans="1:103" s="12" customFormat="1" ht="20" customHeight="1">
      <c r="A31" s="16"/>
      <c r="B31" s="15" t="s">
        <v>10</v>
      </c>
      <c r="C31" s="12">
        <v>141</v>
      </c>
      <c r="D31" s="14">
        <v>117618.09523762003</v>
      </c>
      <c r="F31" s="14"/>
      <c r="G31" s="13"/>
      <c r="I31" s="16"/>
      <c r="J31" s="15" t="s">
        <v>10</v>
      </c>
      <c r="K31" s="12">
        <v>191</v>
      </c>
      <c r="L31" s="14">
        <v>177112.38095158999</v>
      </c>
      <c r="M31" s="12">
        <f t="shared" ref="M31:M39" si="48">K31-C31</f>
        <v>50</v>
      </c>
      <c r="N31" s="14">
        <f t="shared" ref="N31:N39" si="49">L31-D31</f>
        <v>59494.285713969963</v>
      </c>
      <c r="O31" s="13">
        <f t="shared" ref="O31:O39" si="50">(L31-D31)/D31</f>
        <v>0.5058259581042831</v>
      </c>
      <c r="Q31" s="16"/>
      <c r="R31" s="15" t="s">
        <v>10</v>
      </c>
      <c r="S31" s="12">
        <v>112</v>
      </c>
      <c r="T31" s="14">
        <v>119842.85714241999</v>
      </c>
      <c r="U31" s="12">
        <f t="shared" si="3"/>
        <v>-79</v>
      </c>
      <c r="V31" s="14">
        <f t="shared" si="4"/>
        <v>-57269.523809170001</v>
      </c>
      <c r="W31" s="13">
        <f t="shared" si="5"/>
        <v>-0.3233513292603945</v>
      </c>
      <c r="Y31" s="16"/>
      <c r="Z31" s="15" t="s">
        <v>10</v>
      </c>
      <c r="AA31" s="12">
        <v>127</v>
      </c>
      <c r="AB31" s="14">
        <v>118192.38095190999</v>
      </c>
      <c r="AC31" s="12">
        <f t="shared" si="6"/>
        <v>15</v>
      </c>
      <c r="AD31" s="14">
        <f t="shared" si="7"/>
        <v>-1650.4761905100022</v>
      </c>
      <c r="AE31" s="13">
        <f t="shared" si="8"/>
        <v>-1.3772003020159922E-2</v>
      </c>
      <c r="AG31" s="16"/>
      <c r="AH31" s="15" t="s">
        <v>10</v>
      </c>
      <c r="AI31" s="12">
        <v>103</v>
      </c>
      <c r="AJ31" s="14">
        <v>99167.619047209955</v>
      </c>
      <c r="AK31" s="12">
        <f t="shared" si="9"/>
        <v>-24</v>
      </c>
      <c r="AL31" s="14">
        <f t="shared" si="10"/>
        <v>-19024.761904700033</v>
      </c>
      <c r="AM31" s="13">
        <f t="shared" si="11"/>
        <v>-0.16096436801997255</v>
      </c>
      <c r="AO31" s="16"/>
      <c r="AP31" s="15" t="s">
        <v>10</v>
      </c>
      <c r="AQ31" s="12">
        <v>152</v>
      </c>
      <c r="AR31" s="14">
        <v>150241.90476137001</v>
      </c>
      <c r="AS31" s="12">
        <f t="shared" si="12"/>
        <v>49</v>
      </c>
      <c r="AT31" s="14">
        <f t="shared" si="13"/>
        <v>51074.285714160054</v>
      </c>
      <c r="AU31" s="13">
        <f t="shared" si="14"/>
        <v>0.51502986766119208</v>
      </c>
      <c r="AW31" s="16"/>
      <c r="AX31" s="15" t="s">
        <v>10</v>
      </c>
      <c r="AY31" s="12">
        <v>135</v>
      </c>
      <c r="AZ31" s="14">
        <v>130618.09523763995</v>
      </c>
      <c r="BA31" s="12">
        <f t="shared" si="15"/>
        <v>-17</v>
      </c>
      <c r="BB31" s="14">
        <f t="shared" si="16"/>
        <v>-19623.809523730059</v>
      </c>
      <c r="BC31" s="13">
        <f t="shared" si="17"/>
        <v>-0.13061475461788544</v>
      </c>
      <c r="BE31" s="16"/>
      <c r="BF31" s="15" t="s">
        <v>10</v>
      </c>
      <c r="BG31" s="12">
        <v>144</v>
      </c>
      <c r="BH31" s="14">
        <v>143581.90476134996</v>
      </c>
      <c r="BI31" s="12">
        <f t="shared" si="42"/>
        <v>9</v>
      </c>
      <c r="BJ31" s="14">
        <f t="shared" si="43"/>
        <v>12963.809523710006</v>
      </c>
      <c r="BK31" s="13">
        <f t="shared" si="44"/>
        <v>9.9249721105826166E-2</v>
      </c>
      <c r="BM31" s="16"/>
      <c r="BN31" s="15" t="s">
        <v>10</v>
      </c>
      <c r="BO31" s="12">
        <v>134</v>
      </c>
      <c r="BP31" s="14">
        <v>125492.38095184998</v>
      </c>
      <c r="BQ31" s="12">
        <f t="shared" si="21"/>
        <v>-10</v>
      </c>
      <c r="BR31" s="14">
        <f t="shared" si="22"/>
        <v>-18089.52380949998</v>
      </c>
      <c r="BS31" s="13">
        <f t="shared" si="23"/>
        <v>-0.1259874901337108</v>
      </c>
      <c r="BU31" s="16"/>
      <c r="BV31" s="15" t="s">
        <v>10</v>
      </c>
      <c r="BW31" s="12">
        <v>119</v>
      </c>
      <c r="BX31" s="14">
        <v>106534.28571378994</v>
      </c>
      <c r="BY31" s="12">
        <f t="shared" si="24"/>
        <v>-15</v>
      </c>
      <c r="BZ31" s="14">
        <f t="shared" si="25"/>
        <v>-18958.095238060036</v>
      </c>
      <c r="CA31" s="13">
        <f t="shared" si="26"/>
        <v>-0.15106969119769945</v>
      </c>
      <c r="CC31" s="16"/>
      <c r="CD31" s="15" t="s">
        <v>10</v>
      </c>
      <c r="CE31" s="12">
        <v>154</v>
      </c>
      <c r="CF31" s="14">
        <v>135826.66666607006</v>
      </c>
      <c r="CG31" s="12">
        <f t="shared" si="27"/>
        <v>35</v>
      </c>
      <c r="CH31" s="14">
        <f t="shared" si="28"/>
        <v>29292.380952280117</v>
      </c>
      <c r="CI31" s="13">
        <f t="shared" si="29"/>
        <v>0.27495731309426213</v>
      </c>
      <c r="CK31" s="16"/>
      <c r="CL31" s="15" t="s">
        <v>10</v>
      </c>
      <c r="CM31" s="12">
        <v>123</v>
      </c>
      <c r="CN31" s="14">
        <v>114961.90476143999</v>
      </c>
      <c r="CO31" s="12">
        <f t="shared" si="30"/>
        <v>-31</v>
      </c>
      <c r="CP31" s="14">
        <f t="shared" si="31"/>
        <v>-20864.761904630068</v>
      </c>
      <c r="CQ31" s="13">
        <f t="shared" si="32"/>
        <v>-0.15361314841014317</v>
      </c>
      <c r="CS31" s="16"/>
      <c r="CT31" s="15" t="s">
        <v>10</v>
      </c>
      <c r="CU31" s="12">
        <v>152</v>
      </c>
      <c r="CV31" s="14">
        <v>166386.66666608999</v>
      </c>
      <c r="CW31" s="12">
        <f t="shared" si="33"/>
        <v>29</v>
      </c>
      <c r="CX31" s="14">
        <f t="shared" si="34"/>
        <v>51424.761904650004</v>
      </c>
      <c r="CY31" s="13">
        <f t="shared" si="35"/>
        <v>0.44732002319692488</v>
      </c>
    </row>
    <row r="32" spans="1:103" s="12" customFormat="1" ht="20" customHeight="1">
      <c r="A32" s="16"/>
      <c r="B32" s="15" t="s">
        <v>9</v>
      </c>
      <c r="C32" s="12">
        <v>87</v>
      </c>
      <c r="D32" s="14">
        <v>82773.333333200018</v>
      </c>
      <c r="F32" s="14"/>
      <c r="G32" s="13"/>
      <c r="I32" s="16"/>
      <c r="J32" s="15" t="s">
        <v>9</v>
      </c>
      <c r="K32" s="12">
        <v>99</v>
      </c>
      <c r="L32" s="14">
        <v>89939.047618969998</v>
      </c>
      <c r="M32" s="12">
        <f t="shared" si="48"/>
        <v>12</v>
      </c>
      <c r="N32" s="14">
        <f t="shared" si="49"/>
        <v>7165.7142857699801</v>
      </c>
      <c r="O32" s="13">
        <f t="shared" si="50"/>
        <v>8.6570324006703295E-2</v>
      </c>
      <c r="Q32" s="16"/>
      <c r="R32" s="15" t="s">
        <v>9</v>
      </c>
      <c r="S32" s="12">
        <v>88</v>
      </c>
      <c r="T32" s="14">
        <v>78505.714285609996</v>
      </c>
      <c r="U32" s="12">
        <f t="shared" si="3"/>
        <v>-11</v>
      </c>
      <c r="V32" s="14">
        <f t="shared" si="4"/>
        <v>-11433.333333360002</v>
      </c>
      <c r="W32" s="13">
        <f t="shared" si="5"/>
        <v>-0.12712313100976708</v>
      </c>
      <c r="Y32" s="16"/>
      <c r="Z32" s="15" t="s">
        <v>9</v>
      </c>
      <c r="AA32" s="12">
        <v>92</v>
      </c>
      <c r="AB32" s="14">
        <v>71959.047618960001</v>
      </c>
      <c r="AC32" s="12">
        <f t="shared" si="6"/>
        <v>4</v>
      </c>
      <c r="AD32" s="14">
        <f t="shared" si="7"/>
        <v>-6546.666666649995</v>
      </c>
      <c r="AE32" s="13">
        <f t="shared" si="8"/>
        <v>-8.3390957285385675E-2</v>
      </c>
      <c r="AG32" s="16"/>
      <c r="AH32" s="15" t="s">
        <v>9</v>
      </c>
      <c r="AI32" s="12">
        <v>70</v>
      </c>
      <c r="AJ32" s="14">
        <v>64498.09523803</v>
      </c>
      <c r="AK32" s="12">
        <f t="shared" si="9"/>
        <v>-22</v>
      </c>
      <c r="AL32" s="14">
        <f t="shared" si="10"/>
        <v>-7460.9523809300008</v>
      </c>
      <c r="AM32" s="13">
        <f t="shared" si="11"/>
        <v>-0.1036833119364988</v>
      </c>
      <c r="AO32" s="16"/>
      <c r="AP32" s="15" t="s">
        <v>9</v>
      </c>
      <c r="AQ32" s="12">
        <v>124</v>
      </c>
      <c r="AR32" s="14">
        <v>112967.61904748999</v>
      </c>
      <c r="AS32" s="12">
        <f t="shared" si="12"/>
        <v>54</v>
      </c>
      <c r="AT32" s="14">
        <f t="shared" si="13"/>
        <v>48469.523809459992</v>
      </c>
      <c r="AU32" s="13">
        <f t="shared" si="14"/>
        <v>0.75148767774588354</v>
      </c>
      <c r="AW32" s="16"/>
      <c r="AX32" s="15" t="s">
        <v>9</v>
      </c>
      <c r="AY32" s="12">
        <v>101</v>
      </c>
      <c r="AZ32" s="14">
        <v>97016.190476060015</v>
      </c>
      <c r="BA32" s="12">
        <f t="shared" si="15"/>
        <v>-23</v>
      </c>
      <c r="BB32" s="14">
        <f t="shared" si="16"/>
        <v>-15951.428571429977</v>
      </c>
      <c r="BC32" s="13">
        <f t="shared" si="17"/>
        <v>-0.14120354758228745</v>
      </c>
      <c r="BE32" s="16"/>
      <c r="BF32" s="15" t="s">
        <v>9</v>
      </c>
      <c r="BG32" s="12">
        <v>120</v>
      </c>
      <c r="BH32" s="14">
        <v>128144.76190464999</v>
      </c>
      <c r="BI32" s="12">
        <f t="shared" si="42"/>
        <v>19</v>
      </c>
      <c r="BJ32" s="14">
        <f t="shared" si="43"/>
        <v>31128.571428589974</v>
      </c>
      <c r="BK32" s="13">
        <f t="shared" si="44"/>
        <v>0.32085955216177392</v>
      </c>
      <c r="BM32" s="16"/>
      <c r="BN32" s="15" t="s">
        <v>9</v>
      </c>
      <c r="BO32" s="12">
        <v>90</v>
      </c>
      <c r="BP32" s="14">
        <v>83506.666666560006</v>
      </c>
      <c r="BQ32" s="12">
        <f t="shared" si="21"/>
        <v>-30</v>
      </c>
      <c r="BR32" s="14">
        <f t="shared" si="22"/>
        <v>-44638.095238089983</v>
      </c>
      <c r="BS32" s="13">
        <f t="shared" si="23"/>
        <v>-0.34834116178158198</v>
      </c>
      <c r="BU32" s="16"/>
      <c r="BV32" s="15" t="s">
        <v>9</v>
      </c>
      <c r="BW32" s="12">
        <v>74</v>
      </c>
      <c r="BX32" s="14">
        <v>67507.619047529995</v>
      </c>
      <c r="BY32" s="12">
        <f t="shared" si="24"/>
        <v>-16</v>
      </c>
      <c r="BZ32" s="14">
        <f t="shared" si="25"/>
        <v>-15999.047619030011</v>
      </c>
      <c r="CA32" s="13">
        <f t="shared" si="26"/>
        <v>-0.19159006409528714</v>
      </c>
      <c r="CC32" s="16"/>
      <c r="CD32" s="15" t="s">
        <v>9</v>
      </c>
      <c r="CE32" s="12">
        <v>78</v>
      </c>
      <c r="CF32" s="14">
        <v>91024.761904659987</v>
      </c>
      <c r="CG32" s="12">
        <f t="shared" si="27"/>
        <v>4</v>
      </c>
      <c r="CH32" s="14">
        <f t="shared" si="28"/>
        <v>23517.142857129991</v>
      </c>
      <c r="CI32" s="13">
        <f t="shared" si="29"/>
        <v>0.3483627950286961</v>
      </c>
      <c r="CK32" s="16"/>
      <c r="CL32" s="15" t="s">
        <v>9</v>
      </c>
      <c r="CM32" s="12">
        <v>98</v>
      </c>
      <c r="CN32" s="14">
        <v>88802.857142770008</v>
      </c>
      <c r="CO32" s="12">
        <f t="shared" si="30"/>
        <v>20</v>
      </c>
      <c r="CP32" s="14">
        <f t="shared" si="31"/>
        <v>-2221.9047618899785</v>
      </c>
      <c r="CQ32" s="13">
        <f t="shared" si="32"/>
        <v>-2.4409893697027389E-2</v>
      </c>
      <c r="CS32" s="16"/>
      <c r="CT32" s="15" t="s">
        <v>9</v>
      </c>
      <c r="CU32" s="12">
        <v>82</v>
      </c>
      <c r="CV32" s="14">
        <v>103220.95238084997</v>
      </c>
      <c r="CW32" s="12">
        <f t="shared" si="33"/>
        <v>-16</v>
      </c>
      <c r="CX32" s="14">
        <f t="shared" si="34"/>
        <v>14418.095238079957</v>
      </c>
      <c r="CY32" s="13">
        <f t="shared" si="35"/>
        <v>0.16236071340474684</v>
      </c>
    </row>
    <row r="33" spans="1:103" s="12" customFormat="1" ht="20" customHeight="1">
      <c r="A33" s="16"/>
      <c r="B33" s="15" t="s">
        <v>8</v>
      </c>
      <c r="C33" s="12">
        <v>18</v>
      </c>
      <c r="D33" s="14">
        <v>101542.85714285</v>
      </c>
      <c r="F33" s="14"/>
      <c r="G33" s="13"/>
      <c r="I33" s="16"/>
      <c r="J33" s="15" t="s">
        <v>8</v>
      </c>
      <c r="K33" s="12">
        <v>33</v>
      </c>
      <c r="L33" s="14">
        <v>211971.42857141001</v>
      </c>
      <c r="M33" s="12">
        <f t="shared" si="48"/>
        <v>15</v>
      </c>
      <c r="N33" s="14">
        <f t="shared" si="49"/>
        <v>110428.57142856001</v>
      </c>
      <c r="O33" s="13">
        <f t="shared" si="50"/>
        <v>1.0875070343274824</v>
      </c>
      <c r="Q33" s="16"/>
      <c r="R33" s="15" t="s">
        <v>8</v>
      </c>
      <c r="S33" s="12">
        <v>9</v>
      </c>
      <c r="T33" s="14">
        <v>85914.285714269994</v>
      </c>
      <c r="U33" s="12">
        <f t="shared" si="3"/>
        <v>-24</v>
      </c>
      <c r="V33" s="14">
        <f t="shared" si="4"/>
        <v>-126057.14285714002</v>
      </c>
      <c r="W33" s="13">
        <f t="shared" si="5"/>
        <v>-0.59468931122796698</v>
      </c>
      <c r="Y33" s="16"/>
      <c r="Z33" s="15" t="s">
        <v>8</v>
      </c>
      <c r="AA33" s="12">
        <v>11</v>
      </c>
      <c r="AB33" s="14">
        <v>68466.666666659992</v>
      </c>
      <c r="AC33" s="12">
        <f t="shared" si="6"/>
        <v>2</v>
      </c>
      <c r="AD33" s="14">
        <f t="shared" si="7"/>
        <v>-17447.619047610002</v>
      </c>
      <c r="AE33" s="13">
        <f t="shared" si="8"/>
        <v>-0.20308169825954833</v>
      </c>
      <c r="AG33" s="16"/>
      <c r="AH33" s="15" t="s">
        <v>8</v>
      </c>
      <c r="AI33" s="12">
        <v>17</v>
      </c>
      <c r="AJ33" s="14">
        <v>111266.66666665</v>
      </c>
      <c r="AK33" s="12">
        <f t="shared" si="9"/>
        <v>6</v>
      </c>
      <c r="AL33" s="14">
        <f t="shared" si="10"/>
        <v>42799.999999990003</v>
      </c>
      <c r="AM33" s="13">
        <f t="shared" si="11"/>
        <v>0.62512171372922354</v>
      </c>
      <c r="AO33" s="16"/>
      <c r="AP33" s="15" t="s">
        <v>8</v>
      </c>
      <c r="AQ33" s="12">
        <v>10</v>
      </c>
      <c r="AR33" s="14">
        <v>65619.047619040008</v>
      </c>
      <c r="AS33" s="12">
        <f t="shared" si="12"/>
        <v>-7</v>
      </c>
      <c r="AT33" s="14">
        <f t="shared" si="13"/>
        <v>-45647.619047609987</v>
      </c>
      <c r="AU33" s="13">
        <f t="shared" si="14"/>
        <v>-0.4102542155268139</v>
      </c>
      <c r="AW33" s="16"/>
      <c r="AX33" s="15" t="s">
        <v>8</v>
      </c>
      <c r="AY33" s="12">
        <v>12</v>
      </c>
      <c r="AZ33" s="14">
        <v>58457.142857129998</v>
      </c>
      <c r="BA33" s="12">
        <f t="shared" si="15"/>
        <v>2</v>
      </c>
      <c r="BB33" s="14">
        <f t="shared" si="16"/>
        <v>-7161.9047619100093</v>
      </c>
      <c r="BC33" s="13">
        <f t="shared" si="17"/>
        <v>-0.1091436865022697</v>
      </c>
      <c r="BE33" s="16"/>
      <c r="BF33" s="15" t="s">
        <v>8</v>
      </c>
      <c r="BG33" s="12">
        <v>31</v>
      </c>
      <c r="BH33" s="14">
        <v>209704.76190474999</v>
      </c>
      <c r="BI33" s="12">
        <f t="shared" si="42"/>
        <v>19</v>
      </c>
      <c r="BJ33" s="14">
        <f t="shared" si="43"/>
        <v>151247.61904761998</v>
      </c>
      <c r="BK33" s="13">
        <f t="shared" si="44"/>
        <v>2.587324861518995</v>
      </c>
      <c r="BM33" s="16"/>
      <c r="BN33" s="15" t="s">
        <v>8</v>
      </c>
      <c r="BO33" s="12">
        <v>53</v>
      </c>
      <c r="BP33" s="14">
        <v>352352.38095237</v>
      </c>
      <c r="BQ33" s="12">
        <f t="shared" si="21"/>
        <v>22</v>
      </c>
      <c r="BR33" s="14">
        <f t="shared" si="22"/>
        <v>142647.61904762001</v>
      </c>
      <c r="BS33" s="13">
        <f t="shared" si="23"/>
        <v>0.68023070984154377</v>
      </c>
      <c r="BU33" s="16"/>
      <c r="BV33" s="15" t="s">
        <v>8</v>
      </c>
      <c r="BW33" s="12">
        <v>24</v>
      </c>
      <c r="BX33" s="14">
        <v>144844.76190475002</v>
      </c>
      <c r="BY33" s="12">
        <f t="shared" si="24"/>
        <v>-29</v>
      </c>
      <c r="BZ33" s="14">
        <f t="shared" si="25"/>
        <v>-207507.61904761998</v>
      </c>
      <c r="CA33" s="13">
        <f t="shared" si="26"/>
        <v>-0.58892072330191025</v>
      </c>
      <c r="CC33" s="16"/>
      <c r="CD33" s="15" t="s">
        <v>8</v>
      </c>
      <c r="CE33" s="12">
        <v>37</v>
      </c>
      <c r="CF33" s="14">
        <v>234649.52380950999</v>
      </c>
      <c r="CG33" s="12">
        <f t="shared" si="27"/>
        <v>13</v>
      </c>
      <c r="CH33" s="14">
        <f t="shared" si="28"/>
        <v>89804.761904759973</v>
      </c>
      <c r="CI33" s="13">
        <f t="shared" si="29"/>
        <v>0.62000696969501479</v>
      </c>
      <c r="CK33" s="16"/>
      <c r="CL33" s="15" t="s">
        <v>8</v>
      </c>
      <c r="CM33" s="12">
        <v>28</v>
      </c>
      <c r="CN33" s="14">
        <v>172114.28571426999</v>
      </c>
      <c r="CO33" s="12">
        <f t="shared" si="30"/>
        <v>-9</v>
      </c>
      <c r="CP33" s="14">
        <f t="shared" si="31"/>
        <v>-62535.238095239998</v>
      </c>
      <c r="CQ33" s="13">
        <f t="shared" si="32"/>
        <v>-0.26650485830947823</v>
      </c>
      <c r="CS33" s="16"/>
      <c r="CT33" s="15" t="s">
        <v>8</v>
      </c>
      <c r="CU33" s="12">
        <v>56</v>
      </c>
      <c r="CV33" s="14">
        <v>363516.19047616998</v>
      </c>
      <c r="CW33" s="12">
        <f t="shared" si="33"/>
        <v>28</v>
      </c>
      <c r="CX33" s="14">
        <f t="shared" si="34"/>
        <v>191401.90476189999</v>
      </c>
      <c r="CY33" s="13">
        <f t="shared" si="35"/>
        <v>1.1120628596724953</v>
      </c>
    </row>
    <row r="34" spans="1:103" s="12" customFormat="1" ht="20" customHeight="1">
      <c r="A34" s="16"/>
      <c r="B34" s="15" t="s">
        <v>7</v>
      </c>
      <c r="C34" s="12">
        <v>22</v>
      </c>
      <c r="D34" s="14">
        <v>319809.52380945999</v>
      </c>
      <c r="F34" s="14"/>
      <c r="G34" s="13"/>
      <c r="I34" s="16"/>
      <c r="J34" s="15" t="s">
        <v>7</v>
      </c>
      <c r="K34" s="12">
        <v>33</v>
      </c>
      <c r="L34" s="14">
        <v>513999.99999994005</v>
      </c>
      <c r="M34" s="12">
        <f t="shared" si="48"/>
        <v>11</v>
      </c>
      <c r="N34" s="14">
        <f t="shared" si="49"/>
        <v>194190.47619048005</v>
      </c>
      <c r="O34" s="13">
        <f t="shared" si="50"/>
        <v>0.6072066706374174</v>
      </c>
      <c r="Q34" s="16"/>
      <c r="R34" s="15" t="s">
        <v>7</v>
      </c>
      <c r="S34" s="12">
        <v>10</v>
      </c>
      <c r="T34" s="14">
        <v>132857.1428571</v>
      </c>
      <c r="U34" s="12">
        <f t="shared" si="3"/>
        <v>-23</v>
      </c>
      <c r="V34" s="14">
        <f t="shared" si="4"/>
        <v>-381142.85714284005</v>
      </c>
      <c r="W34" s="13">
        <f t="shared" si="5"/>
        <v>-0.74152306837137061</v>
      </c>
      <c r="Y34" s="16"/>
      <c r="Z34" s="15" t="s">
        <v>7</v>
      </c>
      <c r="AA34" s="12">
        <v>16</v>
      </c>
      <c r="AB34" s="14">
        <v>234666.66666663002</v>
      </c>
      <c r="AC34" s="12">
        <f t="shared" si="6"/>
        <v>6</v>
      </c>
      <c r="AD34" s="14">
        <f t="shared" si="7"/>
        <v>101809.52380953002</v>
      </c>
      <c r="AE34" s="13">
        <f t="shared" si="8"/>
        <v>0.76630824372789252</v>
      </c>
      <c r="AG34" s="16"/>
      <c r="AH34" s="15" t="s">
        <v>7</v>
      </c>
      <c r="AI34" s="12">
        <v>22</v>
      </c>
      <c r="AJ34" s="14">
        <v>295047.61904757004</v>
      </c>
      <c r="AK34" s="12">
        <f t="shared" si="9"/>
        <v>6</v>
      </c>
      <c r="AL34" s="14">
        <f t="shared" si="10"/>
        <v>60380.952380940027</v>
      </c>
      <c r="AM34" s="13">
        <f t="shared" si="11"/>
        <v>0.25730519480518232</v>
      </c>
      <c r="AO34" s="16"/>
      <c r="AP34" s="15" t="s">
        <v>7</v>
      </c>
      <c r="AQ34" s="12">
        <v>22</v>
      </c>
      <c r="AR34" s="14">
        <v>326476.19047613</v>
      </c>
      <c r="AS34" s="12">
        <f t="shared" si="12"/>
        <v>0</v>
      </c>
      <c r="AT34" s="14">
        <f t="shared" si="13"/>
        <v>31428.571428559953</v>
      </c>
      <c r="AU34" s="13">
        <f t="shared" si="14"/>
        <v>0.10652033570043071</v>
      </c>
      <c r="AW34" s="16"/>
      <c r="AX34" s="15" t="s">
        <v>7</v>
      </c>
      <c r="AY34" s="12">
        <v>28</v>
      </c>
      <c r="AZ34" s="14">
        <v>378285.71428567002</v>
      </c>
      <c r="BA34" s="12">
        <f t="shared" si="15"/>
        <v>6</v>
      </c>
      <c r="BB34" s="14">
        <f t="shared" si="16"/>
        <v>51809.523809540027</v>
      </c>
      <c r="BC34" s="13">
        <f t="shared" si="17"/>
        <v>0.1586931155193323</v>
      </c>
      <c r="BE34" s="16"/>
      <c r="BF34" s="15" t="s">
        <v>7</v>
      </c>
      <c r="BG34" s="12">
        <v>23</v>
      </c>
      <c r="BH34" s="14">
        <v>256857.14285710003</v>
      </c>
      <c r="BI34" s="12">
        <f t="shared" si="42"/>
        <v>-5</v>
      </c>
      <c r="BJ34" s="14">
        <f t="shared" si="43"/>
        <v>-121428.57142856999</v>
      </c>
      <c r="BK34" s="13">
        <f t="shared" si="44"/>
        <v>-0.32099697885199752</v>
      </c>
      <c r="BM34" s="16"/>
      <c r="BN34" s="15" t="s">
        <v>7</v>
      </c>
      <c r="BO34" s="12">
        <v>14</v>
      </c>
      <c r="BP34" s="14">
        <v>157714.28571424002</v>
      </c>
      <c r="BQ34" s="12">
        <f t="shared" si="21"/>
        <v>-9</v>
      </c>
      <c r="BR34" s="14">
        <f t="shared" si="22"/>
        <v>-99142.857142860012</v>
      </c>
      <c r="BS34" s="13">
        <f t="shared" si="23"/>
        <v>-0.38598442714134362</v>
      </c>
      <c r="BU34" s="16"/>
      <c r="BV34" s="15" t="s">
        <v>7</v>
      </c>
      <c r="BW34" s="12">
        <v>11</v>
      </c>
      <c r="BX34" s="14">
        <v>189428.57142853003</v>
      </c>
      <c r="BY34" s="12">
        <f t="shared" si="24"/>
        <v>-3</v>
      </c>
      <c r="BZ34" s="14">
        <f t="shared" si="25"/>
        <v>31714.285714290017</v>
      </c>
      <c r="CA34" s="13">
        <f t="shared" si="26"/>
        <v>0.20108695652182468</v>
      </c>
      <c r="CC34" s="16"/>
      <c r="CD34" s="15" t="s">
        <v>7</v>
      </c>
      <c r="CE34" s="12">
        <v>13</v>
      </c>
      <c r="CF34" s="14">
        <v>163523.80952377</v>
      </c>
      <c r="CG34" s="12">
        <f t="shared" si="27"/>
        <v>2</v>
      </c>
      <c r="CH34" s="14">
        <f t="shared" si="28"/>
        <v>-25904.761904760031</v>
      </c>
      <c r="CI34" s="13">
        <f t="shared" si="29"/>
        <v>-0.13675213675215675</v>
      </c>
      <c r="CK34" s="16"/>
      <c r="CL34" s="15" t="s">
        <v>7</v>
      </c>
      <c r="CM34" s="12">
        <v>16</v>
      </c>
      <c r="CN34" s="14">
        <v>207999.99999997005</v>
      </c>
      <c r="CO34" s="12">
        <f t="shared" si="30"/>
        <v>3</v>
      </c>
      <c r="CP34" s="14">
        <f t="shared" si="31"/>
        <v>44476.190476200049</v>
      </c>
      <c r="CQ34" s="13">
        <f t="shared" si="32"/>
        <v>0.27198602213174922</v>
      </c>
      <c r="CS34" s="16"/>
      <c r="CT34" s="15" t="s">
        <v>7</v>
      </c>
      <c r="CU34" s="12">
        <v>19</v>
      </c>
      <c r="CV34" s="14">
        <v>242476.19047612001</v>
      </c>
      <c r="CW34" s="12">
        <f t="shared" si="33"/>
        <v>3</v>
      </c>
      <c r="CX34" s="14">
        <f t="shared" si="34"/>
        <v>34476.190476149961</v>
      </c>
      <c r="CY34" s="13">
        <f t="shared" si="35"/>
        <v>0.16575091575074483</v>
      </c>
    </row>
    <row r="35" spans="1:103" s="12" customFormat="1" ht="20" customHeight="1">
      <c r="A35" s="16"/>
      <c r="B35" s="15" t="s">
        <v>6</v>
      </c>
      <c r="C35" s="12">
        <v>6</v>
      </c>
      <c r="D35" s="14">
        <v>17551.428571409997</v>
      </c>
      <c r="F35" s="14"/>
      <c r="G35" s="13"/>
      <c r="I35" s="16"/>
      <c r="J35" s="15" t="s">
        <v>6</v>
      </c>
      <c r="K35" s="12">
        <v>0</v>
      </c>
      <c r="L35" s="14">
        <v>0</v>
      </c>
      <c r="M35" s="12">
        <f t="shared" si="48"/>
        <v>-6</v>
      </c>
      <c r="N35" s="14">
        <f t="shared" si="49"/>
        <v>-17551.428571409997</v>
      </c>
      <c r="O35" s="13">
        <f t="shared" si="50"/>
        <v>-1</v>
      </c>
      <c r="Q35" s="16"/>
      <c r="R35" s="15" t="s">
        <v>6</v>
      </c>
      <c r="S35" s="12">
        <v>0</v>
      </c>
      <c r="T35" s="14">
        <v>0</v>
      </c>
      <c r="U35" s="12">
        <f t="shared" si="3"/>
        <v>0</v>
      </c>
      <c r="V35" s="14">
        <f t="shared" si="4"/>
        <v>0</v>
      </c>
      <c r="W35" s="13" t="e">
        <f t="shared" si="5"/>
        <v>#DIV/0!</v>
      </c>
      <c r="Y35" s="16"/>
      <c r="Z35" s="15" t="s">
        <v>6</v>
      </c>
      <c r="AA35" s="12">
        <v>0</v>
      </c>
      <c r="AB35" s="14">
        <v>0</v>
      </c>
      <c r="AC35" s="12">
        <f t="shared" si="6"/>
        <v>0</v>
      </c>
      <c r="AD35" s="14">
        <f t="shared" si="7"/>
        <v>0</v>
      </c>
      <c r="AE35" s="13" t="e">
        <f t="shared" si="8"/>
        <v>#DIV/0!</v>
      </c>
      <c r="AG35" s="16"/>
      <c r="AH35" s="15" t="s">
        <v>6</v>
      </c>
      <c r="AJ35" s="14"/>
      <c r="AK35" s="12">
        <f t="shared" si="9"/>
        <v>0</v>
      </c>
      <c r="AL35" s="14">
        <f t="shared" si="10"/>
        <v>0</v>
      </c>
      <c r="AM35" s="13" t="e">
        <f t="shared" si="11"/>
        <v>#DIV/0!</v>
      </c>
      <c r="AO35" s="16"/>
      <c r="AP35" s="15" t="s">
        <v>6</v>
      </c>
      <c r="AQ35" s="12">
        <v>3</v>
      </c>
      <c r="AR35" s="14">
        <v>12283.809523799999</v>
      </c>
      <c r="AS35" s="12">
        <f t="shared" si="12"/>
        <v>3</v>
      </c>
      <c r="AT35" s="14">
        <f t="shared" si="13"/>
        <v>12283.809523799999</v>
      </c>
      <c r="AU35" s="13" t="e">
        <f t="shared" si="14"/>
        <v>#DIV/0!</v>
      </c>
      <c r="AW35" s="16"/>
      <c r="AX35" s="15" t="s">
        <v>6</v>
      </c>
      <c r="AY35" s="12">
        <v>1</v>
      </c>
      <c r="AZ35" s="14">
        <v>2857.1428571400002</v>
      </c>
      <c r="BA35" s="12">
        <f t="shared" si="15"/>
        <v>-2</v>
      </c>
      <c r="BB35" s="14">
        <f t="shared" si="16"/>
        <v>-9426.6666666599995</v>
      </c>
      <c r="BC35" s="13">
        <f t="shared" si="17"/>
        <v>-0.7674057993487885</v>
      </c>
      <c r="BE35" s="16"/>
      <c r="BF35" s="15" t="s">
        <v>6</v>
      </c>
      <c r="BG35" s="12">
        <v>1</v>
      </c>
      <c r="BH35" s="14">
        <v>4713.3333333299997</v>
      </c>
      <c r="BI35" s="12">
        <f t="shared" si="42"/>
        <v>0</v>
      </c>
      <c r="BJ35" s="14">
        <f t="shared" si="43"/>
        <v>1856.1904761899996</v>
      </c>
      <c r="BK35" s="13">
        <f t="shared" si="44"/>
        <v>0.64966666666714945</v>
      </c>
      <c r="BM35" s="16"/>
      <c r="BN35" s="15" t="s">
        <v>6</v>
      </c>
      <c r="BO35" s="12">
        <v>0</v>
      </c>
      <c r="BP35" s="14">
        <v>0</v>
      </c>
      <c r="BQ35" s="12">
        <f t="shared" si="21"/>
        <v>-1</v>
      </c>
      <c r="BR35" s="14">
        <f t="shared" si="22"/>
        <v>-4713.3333333299997</v>
      </c>
      <c r="BS35" s="13">
        <f t="shared" si="23"/>
        <v>-1</v>
      </c>
      <c r="BU35" s="16"/>
      <c r="BV35" s="15" t="s">
        <v>6</v>
      </c>
      <c r="BW35" s="12">
        <v>0</v>
      </c>
      <c r="BX35" s="14">
        <v>0</v>
      </c>
      <c r="BY35" s="12">
        <f t="shared" si="24"/>
        <v>0</v>
      </c>
      <c r="BZ35" s="14">
        <f t="shared" si="25"/>
        <v>0</v>
      </c>
      <c r="CA35" s="13" t="e">
        <f t="shared" si="26"/>
        <v>#DIV/0!</v>
      </c>
      <c r="CC35" s="16"/>
      <c r="CD35" s="15" t="s">
        <v>6</v>
      </c>
      <c r="CE35" s="12">
        <v>0</v>
      </c>
      <c r="CF35" s="14">
        <v>0</v>
      </c>
      <c r="CG35" s="12">
        <f t="shared" si="27"/>
        <v>0</v>
      </c>
      <c r="CH35" s="14">
        <f t="shared" si="28"/>
        <v>0</v>
      </c>
      <c r="CI35" s="13" t="e">
        <f t="shared" si="29"/>
        <v>#DIV/0!</v>
      </c>
      <c r="CK35" s="16"/>
      <c r="CL35" s="15" t="s">
        <v>6</v>
      </c>
      <c r="CM35" s="12">
        <v>0</v>
      </c>
      <c r="CN35" s="14">
        <v>0</v>
      </c>
      <c r="CO35" s="12">
        <f t="shared" si="30"/>
        <v>0</v>
      </c>
      <c r="CP35" s="14">
        <f t="shared" si="31"/>
        <v>0</v>
      </c>
      <c r="CQ35" s="13" t="e">
        <f t="shared" si="32"/>
        <v>#DIV/0!</v>
      </c>
      <c r="CS35" s="16"/>
      <c r="CT35" s="15" t="s">
        <v>6</v>
      </c>
      <c r="CU35" s="12">
        <v>0</v>
      </c>
      <c r="CV35" s="14">
        <v>0</v>
      </c>
      <c r="CW35" s="12">
        <f t="shared" si="33"/>
        <v>0</v>
      </c>
      <c r="CX35" s="14">
        <f t="shared" si="34"/>
        <v>0</v>
      </c>
      <c r="CY35" s="13" t="e">
        <f t="shared" si="35"/>
        <v>#DIV/0!</v>
      </c>
    </row>
    <row r="36" spans="1:103" s="12" customFormat="1" ht="20" customHeight="1">
      <c r="A36" s="16"/>
      <c r="B36" s="15" t="s">
        <v>5</v>
      </c>
      <c r="C36" s="12">
        <v>4</v>
      </c>
      <c r="D36" s="14">
        <v>9060</v>
      </c>
      <c r="F36" s="14"/>
      <c r="G36" s="13"/>
      <c r="I36" s="16"/>
      <c r="J36" s="15" t="s">
        <v>5</v>
      </c>
      <c r="K36" s="12">
        <v>6</v>
      </c>
      <c r="L36" s="14">
        <v>33040</v>
      </c>
      <c r="M36" s="12">
        <f t="shared" si="48"/>
        <v>2</v>
      </c>
      <c r="N36" s="14">
        <f t="shared" si="49"/>
        <v>23980</v>
      </c>
      <c r="O36" s="13">
        <f t="shared" si="50"/>
        <v>2.6467991169977925</v>
      </c>
      <c r="Q36" s="16"/>
      <c r="R36" s="15" t="s">
        <v>5</v>
      </c>
      <c r="S36" s="12">
        <v>0</v>
      </c>
      <c r="T36" s="14">
        <v>0</v>
      </c>
      <c r="U36" s="12">
        <f t="shared" si="3"/>
        <v>-6</v>
      </c>
      <c r="V36" s="14">
        <f t="shared" si="4"/>
        <v>-33040</v>
      </c>
      <c r="W36" s="13">
        <f t="shared" si="5"/>
        <v>-1</v>
      </c>
      <c r="Y36" s="16"/>
      <c r="Z36" s="15" t="s">
        <v>5</v>
      </c>
      <c r="AA36" s="12">
        <v>4</v>
      </c>
      <c r="AB36" s="14">
        <v>21760</v>
      </c>
      <c r="AC36" s="12">
        <f t="shared" si="6"/>
        <v>4</v>
      </c>
      <c r="AD36" s="14">
        <f t="shared" si="7"/>
        <v>21760</v>
      </c>
      <c r="AE36" s="13" t="e">
        <f t="shared" si="8"/>
        <v>#DIV/0!</v>
      </c>
      <c r="AG36" s="16"/>
      <c r="AH36" s="15" t="s">
        <v>5</v>
      </c>
      <c r="AI36" s="12">
        <v>3</v>
      </c>
      <c r="AJ36" s="14">
        <v>7770</v>
      </c>
      <c r="AK36" s="12">
        <f t="shared" si="9"/>
        <v>-1</v>
      </c>
      <c r="AL36" s="14">
        <f t="shared" si="10"/>
        <v>-13990</v>
      </c>
      <c r="AM36" s="13">
        <f t="shared" si="11"/>
        <v>-0.64292279411764708</v>
      </c>
      <c r="AO36" s="16"/>
      <c r="AP36" s="15" t="s">
        <v>5</v>
      </c>
      <c r="AQ36" s="12">
        <v>3</v>
      </c>
      <c r="AR36" s="14">
        <v>9070</v>
      </c>
      <c r="AS36" s="12">
        <f t="shared" si="12"/>
        <v>0</v>
      </c>
      <c r="AT36" s="14">
        <f t="shared" si="13"/>
        <v>1300</v>
      </c>
      <c r="AU36" s="13">
        <f t="shared" si="14"/>
        <v>0.16731016731016732</v>
      </c>
      <c r="AW36" s="16"/>
      <c r="AX36" s="15" t="s">
        <v>5</v>
      </c>
      <c r="AY36" s="12">
        <v>1</v>
      </c>
      <c r="AZ36" s="14">
        <v>6390</v>
      </c>
      <c r="BA36" s="12">
        <f t="shared" si="15"/>
        <v>-2</v>
      </c>
      <c r="BB36" s="14">
        <f t="shared" si="16"/>
        <v>-2680</v>
      </c>
      <c r="BC36" s="13">
        <f t="shared" si="17"/>
        <v>-0.29547960308710031</v>
      </c>
      <c r="BE36" s="16"/>
      <c r="BF36" s="15" t="s">
        <v>5</v>
      </c>
      <c r="BG36" s="12">
        <v>5</v>
      </c>
      <c r="BH36" s="14">
        <v>19750</v>
      </c>
      <c r="BI36" s="12">
        <f t="shared" si="42"/>
        <v>4</v>
      </c>
      <c r="BJ36" s="14">
        <f t="shared" si="43"/>
        <v>13360</v>
      </c>
      <c r="BK36" s="13">
        <f t="shared" si="44"/>
        <v>2.0907668231611893</v>
      </c>
      <c r="BM36" s="16"/>
      <c r="BN36" s="15" t="s">
        <v>5</v>
      </c>
      <c r="BO36" s="12">
        <v>3</v>
      </c>
      <c r="BP36" s="14">
        <v>13970</v>
      </c>
      <c r="BQ36" s="12">
        <f t="shared" si="21"/>
        <v>-2</v>
      </c>
      <c r="BR36" s="14">
        <f t="shared" si="22"/>
        <v>-5780</v>
      </c>
      <c r="BS36" s="13">
        <f t="shared" si="23"/>
        <v>-0.29265822784810125</v>
      </c>
      <c r="BU36" s="16"/>
      <c r="BV36" s="15" t="s">
        <v>5</v>
      </c>
      <c r="BW36" s="12">
        <v>5</v>
      </c>
      <c r="BX36" s="14">
        <v>21950</v>
      </c>
      <c r="BY36" s="12">
        <f t="shared" si="24"/>
        <v>2</v>
      </c>
      <c r="BZ36" s="14">
        <f t="shared" si="25"/>
        <v>7980</v>
      </c>
      <c r="CA36" s="13">
        <f t="shared" si="26"/>
        <v>0.57122405153901212</v>
      </c>
      <c r="CC36" s="16"/>
      <c r="CD36" s="15" t="s">
        <v>5</v>
      </c>
      <c r="CE36" s="12">
        <v>1</v>
      </c>
      <c r="CF36" s="14">
        <v>6290</v>
      </c>
      <c r="CG36" s="12">
        <f t="shared" si="27"/>
        <v>-4</v>
      </c>
      <c r="CH36" s="14">
        <f t="shared" si="28"/>
        <v>-15660</v>
      </c>
      <c r="CI36" s="13">
        <f t="shared" si="29"/>
        <v>-0.71343963553530754</v>
      </c>
      <c r="CK36" s="16"/>
      <c r="CL36" s="15" t="s">
        <v>5</v>
      </c>
      <c r="CM36" s="12">
        <v>3</v>
      </c>
      <c r="CN36" s="14">
        <v>17570</v>
      </c>
      <c r="CO36" s="12">
        <f t="shared" si="30"/>
        <v>2</v>
      </c>
      <c r="CP36" s="14">
        <f t="shared" si="31"/>
        <v>11280</v>
      </c>
      <c r="CQ36" s="13">
        <f t="shared" si="32"/>
        <v>1.7933227344992051</v>
      </c>
      <c r="CS36" s="16"/>
      <c r="CT36" s="15" t="s">
        <v>5</v>
      </c>
      <c r="CU36" s="12">
        <v>4</v>
      </c>
      <c r="CV36" s="14">
        <v>7660</v>
      </c>
      <c r="CW36" s="12">
        <f t="shared" si="33"/>
        <v>1</v>
      </c>
      <c r="CX36" s="14">
        <f t="shared" si="34"/>
        <v>-9910</v>
      </c>
      <c r="CY36" s="13">
        <f t="shared" si="35"/>
        <v>-0.56402959590210588</v>
      </c>
    </row>
    <row r="37" spans="1:103" s="12" customFormat="1" ht="20" customHeight="1">
      <c r="A37" s="16"/>
      <c r="B37" s="15" t="s">
        <v>4</v>
      </c>
      <c r="C37" s="12">
        <v>3</v>
      </c>
      <c r="D37" s="14">
        <v>159714.28571427002</v>
      </c>
      <c r="F37" s="14"/>
      <c r="G37" s="13"/>
      <c r="I37" s="16"/>
      <c r="J37" s="15" t="s">
        <v>4</v>
      </c>
      <c r="K37" s="12">
        <v>4</v>
      </c>
      <c r="L37" s="14">
        <v>168163.80952380001</v>
      </c>
      <c r="M37" s="12">
        <f t="shared" si="48"/>
        <v>1</v>
      </c>
      <c r="N37" s="14">
        <f t="shared" si="49"/>
        <v>8449.5238095299865</v>
      </c>
      <c r="O37" s="13">
        <f t="shared" si="50"/>
        <v>5.2903995229620498E-2</v>
      </c>
      <c r="Q37" s="16"/>
      <c r="R37" s="15" t="s">
        <v>4</v>
      </c>
      <c r="S37" s="12">
        <v>2</v>
      </c>
      <c r="T37" s="14">
        <v>73142.85714285</v>
      </c>
      <c r="U37" s="12">
        <f t="shared" si="3"/>
        <v>-2</v>
      </c>
      <c r="V37" s="14">
        <f t="shared" si="4"/>
        <v>-95020.95238095001</v>
      </c>
      <c r="W37" s="13">
        <f t="shared" si="5"/>
        <v>-0.56504995129467384</v>
      </c>
      <c r="Y37" s="16"/>
      <c r="Z37" s="15" t="s">
        <v>4</v>
      </c>
      <c r="AA37" s="12">
        <v>3</v>
      </c>
      <c r="AB37" s="14">
        <v>81619.047619040008</v>
      </c>
      <c r="AC37" s="12">
        <f t="shared" si="6"/>
        <v>1</v>
      </c>
      <c r="AD37" s="14">
        <f t="shared" si="7"/>
        <v>8476.1904761900078</v>
      </c>
      <c r="AE37" s="13">
        <f t="shared" si="8"/>
        <v>0.11588541666667158</v>
      </c>
      <c r="AG37" s="16"/>
      <c r="AH37" s="15" t="s">
        <v>4</v>
      </c>
      <c r="AJ37" s="14"/>
      <c r="AK37" s="12">
        <f t="shared" si="9"/>
        <v>-3</v>
      </c>
      <c r="AL37" s="14">
        <f t="shared" si="10"/>
        <v>-81619.047619040008</v>
      </c>
      <c r="AM37" s="13">
        <f t="shared" si="11"/>
        <v>-1</v>
      </c>
      <c r="AO37" s="16"/>
      <c r="AP37" s="15" t="s">
        <v>4</v>
      </c>
      <c r="AQ37" s="12">
        <v>3</v>
      </c>
      <c r="AR37" s="14">
        <v>91619.047619040008</v>
      </c>
      <c r="AS37" s="12">
        <f t="shared" si="12"/>
        <v>3</v>
      </c>
      <c r="AT37" s="14">
        <f t="shared" si="13"/>
        <v>91619.047619040008</v>
      </c>
      <c r="AU37" s="13" t="e">
        <f t="shared" si="14"/>
        <v>#DIV/0!</v>
      </c>
      <c r="AW37" s="16"/>
      <c r="AX37" s="15" t="s">
        <v>4</v>
      </c>
      <c r="AY37" s="12">
        <v>1</v>
      </c>
      <c r="AZ37" s="14">
        <v>28000</v>
      </c>
      <c r="BA37" s="12">
        <f t="shared" si="15"/>
        <v>-2</v>
      </c>
      <c r="BB37" s="14">
        <f t="shared" si="16"/>
        <v>-63619.047619040008</v>
      </c>
      <c r="BC37" s="13">
        <f t="shared" si="17"/>
        <v>-0.694386694386669</v>
      </c>
      <c r="BE37" s="16"/>
      <c r="BF37" s="15" t="s">
        <v>4</v>
      </c>
      <c r="BG37" s="12">
        <v>1</v>
      </c>
      <c r="BH37" s="14">
        <v>31333.33333333</v>
      </c>
      <c r="BI37" s="12">
        <f t="shared" si="42"/>
        <v>0</v>
      </c>
      <c r="BJ37" s="14">
        <f t="shared" si="43"/>
        <v>3333.3333333299997</v>
      </c>
      <c r="BK37" s="13">
        <f t="shared" si="44"/>
        <v>0.1190476190475</v>
      </c>
      <c r="BM37" s="16"/>
      <c r="BN37" s="15" t="s">
        <v>4</v>
      </c>
      <c r="BO37" s="12">
        <v>3</v>
      </c>
      <c r="BP37" s="14">
        <v>81811.428571419994</v>
      </c>
      <c r="BQ37" s="12">
        <f t="shared" si="21"/>
        <v>2</v>
      </c>
      <c r="BR37" s="14">
        <f t="shared" si="22"/>
        <v>50478.095238089998</v>
      </c>
      <c r="BS37" s="13">
        <f t="shared" si="23"/>
        <v>1.6110030395136821</v>
      </c>
      <c r="BU37" s="16"/>
      <c r="BV37" s="15" t="s">
        <v>4</v>
      </c>
      <c r="BW37" s="12">
        <v>2</v>
      </c>
      <c r="BX37" s="14">
        <v>100006.66666665999</v>
      </c>
      <c r="BY37" s="12">
        <f t="shared" si="24"/>
        <v>-1</v>
      </c>
      <c r="BZ37" s="14">
        <f t="shared" si="25"/>
        <v>18195.238095239998</v>
      </c>
      <c r="CA37" s="13">
        <f t="shared" si="26"/>
        <v>0.22240460059141814</v>
      </c>
      <c r="CC37" s="16"/>
      <c r="CD37" s="15" t="s">
        <v>4</v>
      </c>
      <c r="CE37" s="12">
        <v>2</v>
      </c>
      <c r="CF37" s="14">
        <v>63806.666666659999</v>
      </c>
      <c r="CG37" s="12">
        <f t="shared" si="27"/>
        <v>0</v>
      </c>
      <c r="CH37" s="14">
        <f t="shared" si="28"/>
        <v>-36199.999999999993</v>
      </c>
      <c r="CI37" s="13">
        <f t="shared" si="29"/>
        <v>-0.3619758682754724</v>
      </c>
      <c r="CK37" s="16"/>
      <c r="CL37" s="15" t="s">
        <v>4</v>
      </c>
      <c r="CM37" s="12">
        <v>4</v>
      </c>
      <c r="CN37" s="14">
        <v>149687.61904759999</v>
      </c>
      <c r="CO37" s="12">
        <f t="shared" si="30"/>
        <v>2</v>
      </c>
      <c r="CP37" s="14">
        <f t="shared" si="31"/>
        <v>85880.952380939998</v>
      </c>
      <c r="CQ37" s="13">
        <f t="shared" si="32"/>
        <v>1.3459557890651286</v>
      </c>
      <c r="CS37" s="16"/>
      <c r="CT37" s="15" t="s">
        <v>4</v>
      </c>
      <c r="CU37" s="12">
        <v>0</v>
      </c>
      <c r="CV37" s="14">
        <v>0</v>
      </c>
      <c r="CW37" s="12">
        <f t="shared" si="33"/>
        <v>-4</v>
      </c>
      <c r="CX37" s="14">
        <f t="shared" si="34"/>
        <v>-149687.61904759999</v>
      </c>
      <c r="CY37" s="13">
        <f t="shared" si="35"/>
        <v>-1</v>
      </c>
    </row>
    <row r="38" spans="1:103" s="12" customFormat="1" ht="20" customHeight="1">
      <c r="A38" s="16"/>
      <c r="B38" s="15" t="s">
        <v>3</v>
      </c>
      <c r="C38" s="12">
        <v>11</v>
      </c>
      <c r="D38" s="14">
        <v>178523.80952377</v>
      </c>
      <c r="F38" s="14"/>
      <c r="G38" s="13"/>
      <c r="I38" s="16"/>
      <c r="J38" s="15" t="s">
        <v>3</v>
      </c>
      <c r="K38" s="12">
        <v>11</v>
      </c>
      <c r="L38" s="14">
        <v>224190.47619045002</v>
      </c>
      <c r="M38" s="12">
        <f t="shared" si="48"/>
        <v>0</v>
      </c>
      <c r="N38" s="14">
        <f t="shared" si="49"/>
        <v>45666.666666680016</v>
      </c>
      <c r="O38" s="13">
        <f t="shared" si="50"/>
        <v>0.25580154707935254</v>
      </c>
      <c r="Q38" s="16"/>
      <c r="R38" s="15" t="s">
        <v>3</v>
      </c>
      <c r="S38" s="12">
        <v>9</v>
      </c>
      <c r="T38" s="14">
        <v>139904.76190474001</v>
      </c>
      <c r="U38" s="12">
        <f t="shared" si="3"/>
        <v>-2</v>
      </c>
      <c r="V38" s="14">
        <f t="shared" si="4"/>
        <v>-84285.714285710012</v>
      </c>
      <c r="W38" s="13">
        <f t="shared" si="5"/>
        <v>-0.37595581988107835</v>
      </c>
      <c r="Y38" s="16"/>
      <c r="Z38" s="15" t="s">
        <v>3</v>
      </c>
      <c r="AA38" s="12">
        <v>8</v>
      </c>
      <c r="AB38" s="14">
        <v>135904.76190474001</v>
      </c>
      <c r="AC38" s="12">
        <f t="shared" si="6"/>
        <v>-1</v>
      </c>
      <c r="AD38" s="14">
        <f t="shared" si="7"/>
        <v>-4000</v>
      </c>
      <c r="AE38" s="13">
        <f t="shared" si="8"/>
        <v>-2.8590878148404747E-2</v>
      </c>
      <c r="AG38" s="16"/>
      <c r="AH38" s="15" t="s">
        <v>3</v>
      </c>
      <c r="AI38" s="12">
        <v>12</v>
      </c>
      <c r="AJ38" s="14">
        <v>180838.09523807</v>
      </c>
      <c r="AK38" s="12">
        <f t="shared" si="9"/>
        <v>4</v>
      </c>
      <c r="AL38" s="14">
        <f t="shared" si="10"/>
        <v>44933.333333329996</v>
      </c>
      <c r="AM38" s="13">
        <f t="shared" si="11"/>
        <v>0.33062368605468884</v>
      </c>
      <c r="AO38" s="16"/>
      <c r="AP38" s="15" t="s">
        <v>3</v>
      </c>
      <c r="AQ38" s="12">
        <v>13</v>
      </c>
      <c r="AR38" s="14">
        <v>161904.76190473</v>
      </c>
      <c r="AS38" s="12">
        <f t="shared" si="12"/>
        <v>1</v>
      </c>
      <c r="AT38" s="14">
        <f t="shared" si="13"/>
        <v>-18933.333333340008</v>
      </c>
      <c r="AU38" s="13">
        <f t="shared" si="14"/>
        <v>-0.104697703812986</v>
      </c>
      <c r="AW38" s="16"/>
      <c r="AX38" s="15" t="s">
        <v>3</v>
      </c>
      <c r="AY38" s="12">
        <v>20</v>
      </c>
      <c r="AZ38" s="14">
        <v>281714.28571422002</v>
      </c>
      <c r="BA38" s="12">
        <f t="shared" si="15"/>
        <v>7</v>
      </c>
      <c r="BB38" s="14">
        <f t="shared" si="16"/>
        <v>119809.52380949003</v>
      </c>
      <c r="BC38" s="13">
        <f t="shared" si="17"/>
        <v>0.73999999999993715</v>
      </c>
      <c r="BE38" s="16"/>
      <c r="BF38" s="15" t="s">
        <v>3</v>
      </c>
      <c r="BG38" s="12">
        <v>18</v>
      </c>
      <c r="BH38" s="14">
        <v>280428.57142852998</v>
      </c>
      <c r="BI38" s="12">
        <f t="shared" si="42"/>
        <v>-2</v>
      </c>
      <c r="BJ38" s="14">
        <f t="shared" si="43"/>
        <v>-1285.7142856900464</v>
      </c>
      <c r="BK38" s="13">
        <f t="shared" si="44"/>
        <v>-4.5638945232415939E-3</v>
      </c>
      <c r="BM38" s="16"/>
      <c r="BN38" s="15" t="s">
        <v>3</v>
      </c>
      <c r="BO38" s="12">
        <v>12</v>
      </c>
      <c r="BP38" s="14">
        <v>228761.90476186998</v>
      </c>
      <c r="BQ38" s="12">
        <f t="shared" si="21"/>
        <v>-6</v>
      </c>
      <c r="BR38" s="14">
        <f t="shared" si="22"/>
        <v>-51666.666666659992</v>
      </c>
      <c r="BS38" s="13">
        <f t="shared" si="23"/>
        <v>-0.18424180675836649</v>
      </c>
      <c r="BU38" s="16"/>
      <c r="BV38" s="15" t="s">
        <v>3</v>
      </c>
      <c r="BW38" s="12">
        <v>10</v>
      </c>
      <c r="BX38" s="14">
        <v>153619.04761901998</v>
      </c>
      <c r="BY38" s="12">
        <f t="shared" si="24"/>
        <v>-2</v>
      </c>
      <c r="BZ38" s="14">
        <f t="shared" si="25"/>
        <v>-75142.85714285</v>
      </c>
      <c r="CA38" s="13">
        <f t="shared" si="26"/>
        <v>-0.32847626977520605</v>
      </c>
      <c r="CC38" s="16"/>
      <c r="CD38" s="15" t="s">
        <v>3</v>
      </c>
      <c r="CE38" s="12">
        <v>29</v>
      </c>
      <c r="CF38" s="14">
        <v>431809.52380948002</v>
      </c>
      <c r="CG38" s="12">
        <f t="shared" si="27"/>
        <v>19</v>
      </c>
      <c r="CH38" s="14">
        <f t="shared" si="28"/>
        <v>278190.47619046003</v>
      </c>
      <c r="CI38" s="13">
        <f t="shared" si="29"/>
        <v>1.8109113453195014</v>
      </c>
      <c r="CK38" s="16"/>
      <c r="CL38" s="15" t="s">
        <v>3</v>
      </c>
      <c r="CM38" s="12">
        <v>10</v>
      </c>
      <c r="CN38" s="14">
        <v>163809.52380949</v>
      </c>
      <c r="CO38" s="12">
        <f t="shared" si="30"/>
        <v>-19</v>
      </c>
      <c r="CP38" s="14">
        <f t="shared" si="31"/>
        <v>-267999.99999998999</v>
      </c>
      <c r="CQ38" s="13">
        <f t="shared" si="32"/>
        <v>-0.62064402293784304</v>
      </c>
      <c r="CS38" s="16"/>
      <c r="CT38" s="15" t="s">
        <v>3</v>
      </c>
      <c r="CU38" s="12">
        <v>13</v>
      </c>
      <c r="CV38" s="14">
        <v>220952.38095234</v>
      </c>
      <c r="CW38" s="12">
        <f t="shared" si="33"/>
        <v>3</v>
      </c>
      <c r="CX38" s="14">
        <f t="shared" si="34"/>
        <v>57142.85714285</v>
      </c>
      <c r="CY38" s="13">
        <f t="shared" si="35"/>
        <v>0.34883720930235396</v>
      </c>
    </row>
    <row r="39" spans="1:103" s="12" customFormat="1" ht="20" customHeight="1">
      <c r="A39" s="16"/>
      <c r="B39" s="15" t="s">
        <v>2</v>
      </c>
      <c r="C39" s="12">
        <v>57</v>
      </c>
      <c r="D39" s="14">
        <v>2395523.8095237501</v>
      </c>
      <c r="F39" s="14"/>
      <c r="G39" s="13"/>
      <c r="I39" s="16"/>
      <c r="J39" s="15" t="s">
        <v>2</v>
      </c>
      <c r="K39" s="12">
        <v>18</v>
      </c>
      <c r="L39" s="14">
        <v>734112.38095234998</v>
      </c>
      <c r="M39" s="12">
        <f t="shared" si="48"/>
        <v>-39</v>
      </c>
      <c r="N39" s="14">
        <f t="shared" si="49"/>
        <v>-1661411.4285714002</v>
      </c>
      <c r="O39" s="13">
        <f t="shared" si="50"/>
        <v>-0.69354828449887229</v>
      </c>
      <c r="Q39" s="16"/>
      <c r="R39" s="15" t="s">
        <v>2</v>
      </c>
      <c r="S39" s="12">
        <v>27</v>
      </c>
      <c r="T39" s="14">
        <v>1029809.5238095</v>
      </c>
      <c r="U39" s="12">
        <f t="shared" si="3"/>
        <v>9</v>
      </c>
      <c r="V39" s="14">
        <f t="shared" si="4"/>
        <v>295697.14285715006</v>
      </c>
      <c r="W39" s="13">
        <f t="shared" si="5"/>
        <v>0.40279547182346631</v>
      </c>
      <c r="Y39" s="16"/>
      <c r="Z39" s="15" t="s">
        <v>2</v>
      </c>
      <c r="AA39" s="12">
        <v>46</v>
      </c>
      <c r="AB39" s="14">
        <v>1784190.4761904301</v>
      </c>
      <c r="AC39" s="12">
        <f t="shared" si="6"/>
        <v>19</v>
      </c>
      <c r="AD39" s="14">
        <f t="shared" si="7"/>
        <v>754380.95238093007</v>
      </c>
      <c r="AE39" s="13">
        <f t="shared" si="8"/>
        <v>0.73254415980763421</v>
      </c>
      <c r="AG39" s="16"/>
      <c r="AH39" s="15" t="s">
        <v>2</v>
      </c>
      <c r="AI39" s="12">
        <v>70</v>
      </c>
      <c r="AJ39" s="14">
        <v>2693361.9047618397</v>
      </c>
      <c r="AK39" s="12">
        <f t="shared" si="9"/>
        <v>24</v>
      </c>
      <c r="AL39" s="14">
        <f t="shared" si="10"/>
        <v>909171.42857140955</v>
      </c>
      <c r="AM39" s="13">
        <f t="shared" si="11"/>
        <v>0.50957083377815982</v>
      </c>
      <c r="AO39" s="16"/>
      <c r="AP39" s="15" t="s">
        <v>2</v>
      </c>
      <c r="AQ39" s="12">
        <v>83</v>
      </c>
      <c r="AR39" s="14">
        <v>3168285.7142856903</v>
      </c>
      <c r="AS39" s="12">
        <f t="shared" si="12"/>
        <v>13</v>
      </c>
      <c r="AT39" s="14">
        <f t="shared" si="13"/>
        <v>474923.80952385068</v>
      </c>
      <c r="AU39" s="13">
        <f t="shared" si="14"/>
        <v>0.17633122703792226</v>
      </c>
      <c r="AW39" s="16"/>
      <c r="AX39" s="15" t="s">
        <v>2</v>
      </c>
      <c r="AY39" s="12">
        <v>50</v>
      </c>
      <c r="AZ39" s="14">
        <v>1803809.52380948</v>
      </c>
      <c r="BA39" s="12">
        <f t="shared" si="15"/>
        <v>-33</v>
      </c>
      <c r="BB39" s="14">
        <f t="shared" si="16"/>
        <v>-1364476.1904762103</v>
      </c>
      <c r="BC39" s="13">
        <f t="shared" si="17"/>
        <v>-0.43066702738450469</v>
      </c>
      <c r="BE39" s="16"/>
      <c r="BF39" s="15" t="s">
        <v>2</v>
      </c>
      <c r="BG39" s="12">
        <v>76</v>
      </c>
      <c r="BH39" s="14">
        <v>2722285.7142856703</v>
      </c>
      <c r="BI39" s="12">
        <f t="shared" si="42"/>
        <v>26</v>
      </c>
      <c r="BJ39" s="14">
        <f t="shared" si="43"/>
        <v>918476.1904761903</v>
      </c>
      <c r="BK39" s="13">
        <f t="shared" si="44"/>
        <v>0.50918690601901961</v>
      </c>
      <c r="BM39" s="16"/>
      <c r="BN39" s="15" t="s">
        <v>2</v>
      </c>
      <c r="BO39" s="12">
        <v>32</v>
      </c>
      <c r="BP39" s="14">
        <v>1245523.8095237799</v>
      </c>
      <c r="BQ39" s="12">
        <f t="shared" si="21"/>
        <v>-44</v>
      </c>
      <c r="BR39" s="14">
        <f t="shared" si="22"/>
        <v>-1476761.9047618904</v>
      </c>
      <c r="BS39" s="13">
        <f t="shared" si="23"/>
        <v>-0.54247131262244963</v>
      </c>
      <c r="BU39" s="16"/>
      <c r="BV39" s="15" t="s">
        <v>2</v>
      </c>
      <c r="BW39" s="12">
        <v>36</v>
      </c>
      <c r="BX39" s="14">
        <v>1287047.61904756</v>
      </c>
      <c r="BY39" s="12">
        <f t="shared" si="24"/>
        <v>4</v>
      </c>
      <c r="BZ39" s="14">
        <f t="shared" si="25"/>
        <v>41523.809523780132</v>
      </c>
      <c r="CA39" s="13">
        <f t="shared" si="26"/>
        <v>3.3338430952722264E-2</v>
      </c>
      <c r="CC39" s="16"/>
      <c r="CD39" s="15" t="s">
        <v>2</v>
      </c>
      <c r="CE39" s="12">
        <v>39</v>
      </c>
      <c r="CF39" s="14">
        <v>1483904.76190471</v>
      </c>
      <c r="CG39" s="12">
        <f t="shared" si="27"/>
        <v>3</v>
      </c>
      <c r="CH39" s="14">
        <f t="shared" si="28"/>
        <v>196857.14285714994</v>
      </c>
      <c r="CI39" s="13">
        <f t="shared" si="29"/>
        <v>0.15295249371023895</v>
      </c>
      <c r="CK39" s="16"/>
      <c r="CL39" s="15" t="s">
        <v>2</v>
      </c>
      <c r="CM39" s="12">
        <v>40</v>
      </c>
      <c r="CN39" s="14">
        <v>1495238.09523805</v>
      </c>
      <c r="CO39" s="12">
        <f t="shared" si="30"/>
        <v>1</v>
      </c>
      <c r="CP39" s="14">
        <f t="shared" si="31"/>
        <v>11333.333333340008</v>
      </c>
      <c r="CQ39" s="13">
        <f t="shared" si="32"/>
        <v>7.6375072203372215E-3</v>
      </c>
      <c r="CS39" s="16"/>
      <c r="CT39" s="15" t="s">
        <v>2</v>
      </c>
      <c r="CU39" s="12">
        <v>59</v>
      </c>
      <c r="CV39" s="14">
        <v>2206761.9047618401</v>
      </c>
      <c r="CW39" s="12">
        <f t="shared" si="33"/>
        <v>19</v>
      </c>
      <c r="CX39" s="14">
        <f t="shared" si="34"/>
        <v>711523.80952379014</v>
      </c>
      <c r="CY39" s="13">
        <f t="shared" si="35"/>
        <v>0.47585987261146639</v>
      </c>
    </row>
    <row r="40" spans="1:103" s="1" customFormat="1" ht="20" customHeight="1">
      <c r="A40" s="11" t="s">
        <v>12</v>
      </c>
      <c r="B40" s="11"/>
      <c r="C40" s="10">
        <v>349</v>
      </c>
      <c r="D40" s="9">
        <v>3382117.1428563301</v>
      </c>
      <c r="E40" s="29"/>
      <c r="F40" s="30"/>
      <c r="G40" s="31"/>
      <c r="I40" s="11" t="s">
        <v>12</v>
      </c>
      <c r="J40" s="11"/>
      <c r="K40" s="10">
        <v>395</v>
      </c>
      <c r="L40" s="9">
        <v>2152529.52380851</v>
      </c>
      <c r="M40" s="10">
        <f t="shared" si="39"/>
        <v>46</v>
      </c>
      <c r="N40" s="9">
        <f t="shared" si="40"/>
        <v>-1229587.6190478201</v>
      </c>
      <c r="O40" s="8">
        <f t="shared" si="41"/>
        <v>-0.36355559760694311</v>
      </c>
      <c r="Q40" s="11" t="s">
        <v>12</v>
      </c>
      <c r="R40" s="11"/>
      <c r="S40" s="10">
        <v>257</v>
      </c>
      <c r="T40" s="9">
        <v>1659977.1428564901</v>
      </c>
      <c r="U40" s="10">
        <f t="shared" si="3"/>
        <v>-138</v>
      </c>
      <c r="V40" s="9">
        <f t="shared" si="4"/>
        <v>-492552.38095201994</v>
      </c>
      <c r="W40" s="8">
        <f t="shared" si="5"/>
        <v>-0.22882491297054916</v>
      </c>
      <c r="Y40" s="11" t="s">
        <v>12</v>
      </c>
      <c r="Z40" s="11"/>
      <c r="AA40" s="10">
        <v>307</v>
      </c>
      <c r="AB40" s="9">
        <v>2516759.04761837</v>
      </c>
      <c r="AC40" s="10">
        <f t="shared" si="6"/>
        <v>50</v>
      </c>
      <c r="AD40" s="9">
        <f t="shared" si="7"/>
        <v>856781.90476187994</v>
      </c>
      <c r="AE40" s="8">
        <f t="shared" si="8"/>
        <v>0.51614078449750755</v>
      </c>
      <c r="AG40" s="11" t="s">
        <v>12</v>
      </c>
      <c r="AH40" s="11"/>
      <c r="AI40" s="10">
        <v>297</v>
      </c>
      <c r="AJ40" s="9">
        <v>3451949.9999993695</v>
      </c>
      <c r="AK40" s="10">
        <f t="shared" si="9"/>
        <v>-10</v>
      </c>
      <c r="AL40" s="9">
        <f t="shared" si="10"/>
        <v>935190.95238099946</v>
      </c>
      <c r="AM40" s="8">
        <f t="shared" si="11"/>
        <v>0.3715854138941026</v>
      </c>
      <c r="AO40" s="11" t="s">
        <v>12</v>
      </c>
      <c r="AP40" s="11"/>
      <c r="AQ40" s="10">
        <v>413</v>
      </c>
      <c r="AR40" s="9">
        <v>4098468.0952372905</v>
      </c>
      <c r="AS40" s="10">
        <f t="shared" si="12"/>
        <v>116</v>
      </c>
      <c r="AT40" s="9">
        <f t="shared" si="13"/>
        <v>646518.09523792099</v>
      </c>
      <c r="AU40" s="8">
        <f t="shared" si="14"/>
        <v>0.18729068938948684</v>
      </c>
      <c r="AW40" s="11" t="s">
        <v>12</v>
      </c>
      <c r="AX40" s="11"/>
      <c r="AY40" s="10">
        <v>349</v>
      </c>
      <c r="AZ40" s="9">
        <v>2787148.0952373398</v>
      </c>
      <c r="BA40" s="10">
        <f t="shared" si="15"/>
        <v>-64</v>
      </c>
      <c r="BB40" s="9">
        <f t="shared" si="16"/>
        <v>-1311319.9999999506</v>
      </c>
      <c r="BC40" s="8">
        <f t="shared" si="17"/>
        <v>-0.31995369233782672</v>
      </c>
      <c r="BE40" s="11" t="s">
        <v>12</v>
      </c>
      <c r="BF40" s="11"/>
      <c r="BG40" s="10">
        <v>419</v>
      </c>
      <c r="BH40" s="9">
        <v>3796799.5238087103</v>
      </c>
      <c r="BI40" s="29">
        <f t="shared" si="42"/>
        <v>70</v>
      </c>
      <c r="BJ40" s="30">
        <f t="shared" si="43"/>
        <v>1009651.4285713704</v>
      </c>
      <c r="BK40" s="31">
        <f t="shared" si="44"/>
        <v>0.36225252267601282</v>
      </c>
      <c r="BM40" s="11" t="s">
        <v>12</v>
      </c>
      <c r="BN40" s="11"/>
      <c r="BO40" s="10">
        <v>341</v>
      </c>
      <c r="BP40" s="9">
        <v>2289132.8571420899</v>
      </c>
      <c r="BQ40" s="29">
        <f t="shared" si="21"/>
        <v>-78</v>
      </c>
      <c r="BR40" s="30">
        <f t="shared" si="22"/>
        <v>-1507666.6666666204</v>
      </c>
      <c r="BS40" s="31">
        <f t="shared" si="23"/>
        <v>-0.39708882631607162</v>
      </c>
      <c r="BU40" s="11" t="s">
        <v>12</v>
      </c>
      <c r="BV40" s="11"/>
      <c r="BW40" s="10">
        <v>281</v>
      </c>
      <c r="BX40" s="9">
        <v>2070938.5714278398</v>
      </c>
      <c r="BY40" s="29">
        <f t="shared" si="24"/>
        <v>-60</v>
      </c>
      <c r="BZ40" s="30">
        <f t="shared" si="25"/>
        <v>-218194.28571425006</v>
      </c>
      <c r="CA40" s="31">
        <f t="shared" si="26"/>
        <v>-9.5317440852541319E-2</v>
      </c>
      <c r="CC40" s="11" t="s">
        <v>12</v>
      </c>
      <c r="CD40" s="11"/>
      <c r="CE40" s="10">
        <v>354</v>
      </c>
      <c r="CF40" s="9">
        <v>2612635.7142848601</v>
      </c>
      <c r="CG40" s="29">
        <f t="shared" si="27"/>
        <v>73</v>
      </c>
      <c r="CH40" s="30">
        <f t="shared" si="28"/>
        <v>541697.14285702026</v>
      </c>
      <c r="CI40" s="31">
        <f t="shared" si="29"/>
        <v>0.26157084055059104</v>
      </c>
      <c r="CK40" s="11" t="s">
        <v>12</v>
      </c>
      <c r="CL40" s="11"/>
      <c r="CM40" s="10">
        <v>322</v>
      </c>
      <c r="CN40" s="9">
        <v>2410184.2857135898</v>
      </c>
      <c r="CO40" s="29">
        <f t="shared" si="30"/>
        <v>-32</v>
      </c>
      <c r="CP40" s="30">
        <f t="shared" si="31"/>
        <v>-202451.42857127031</v>
      </c>
      <c r="CQ40" s="31">
        <f t="shared" si="32"/>
        <v>-7.7489344367584756E-2</v>
      </c>
      <c r="CS40" s="11" t="s">
        <v>12</v>
      </c>
      <c r="CT40" s="11"/>
      <c r="CU40" s="10">
        <v>385</v>
      </c>
      <c r="CV40" s="9">
        <v>3310974.28571341</v>
      </c>
      <c r="CW40" s="29">
        <f t="shared" si="33"/>
        <v>63</v>
      </c>
      <c r="CX40" s="30">
        <f t="shared" si="34"/>
        <v>900789.99999982025</v>
      </c>
      <c r="CY40" s="31">
        <f t="shared" si="35"/>
        <v>0.37374320517284465</v>
      </c>
    </row>
    <row r="41" spans="1:103" s="1" customFormat="1" ht="20" customHeight="1">
      <c r="A41" s="16">
        <v>81</v>
      </c>
      <c r="B41" s="35" t="s">
        <v>32</v>
      </c>
      <c r="C41" s="1">
        <v>4237</v>
      </c>
      <c r="D41" s="38"/>
      <c r="E41" s="12"/>
      <c r="F41" s="14"/>
      <c r="G41" s="39"/>
      <c r="I41" s="16">
        <v>81</v>
      </c>
      <c r="J41" s="35" t="s">
        <v>32</v>
      </c>
      <c r="K41" s="1">
        <v>3976</v>
      </c>
      <c r="L41" s="38"/>
      <c r="M41" s="12">
        <f t="shared" si="39"/>
        <v>-261</v>
      </c>
      <c r="N41" s="14">
        <f t="shared" si="40"/>
        <v>0</v>
      </c>
      <c r="O41" s="13" t="e">
        <f t="shared" si="41"/>
        <v>#DIV/0!</v>
      </c>
      <c r="Q41" s="16">
        <v>81</v>
      </c>
      <c r="R41" s="35" t="s">
        <v>32</v>
      </c>
      <c r="S41" s="1">
        <v>2338</v>
      </c>
      <c r="T41" s="38"/>
      <c r="U41" s="12">
        <f t="shared" si="3"/>
        <v>-1638</v>
      </c>
      <c r="V41" s="14">
        <f t="shared" si="4"/>
        <v>0</v>
      </c>
      <c r="W41" s="13" t="e">
        <f t="shared" si="5"/>
        <v>#DIV/0!</v>
      </c>
      <c r="Y41" s="16">
        <v>81</v>
      </c>
      <c r="Z41" s="35" t="s">
        <v>32</v>
      </c>
      <c r="AA41" s="1">
        <v>2431</v>
      </c>
      <c r="AB41" s="38"/>
      <c r="AC41" s="12">
        <f t="shared" si="6"/>
        <v>93</v>
      </c>
      <c r="AD41" s="14">
        <f t="shared" si="7"/>
        <v>0</v>
      </c>
      <c r="AE41" s="13" t="e">
        <f t="shared" si="8"/>
        <v>#DIV/0!</v>
      </c>
      <c r="AG41" s="16">
        <v>81</v>
      </c>
      <c r="AH41" s="35" t="s">
        <v>32</v>
      </c>
      <c r="AI41" s="1">
        <v>1928</v>
      </c>
      <c r="AJ41" s="38"/>
      <c r="AK41" s="12">
        <f t="shared" si="9"/>
        <v>-503</v>
      </c>
      <c r="AL41" s="14">
        <f t="shared" si="10"/>
        <v>0</v>
      </c>
      <c r="AM41" s="13" t="e">
        <f t="shared" si="11"/>
        <v>#DIV/0!</v>
      </c>
      <c r="AO41" s="16">
        <v>81</v>
      </c>
      <c r="AP41" s="35" t="s">
        <v>32</v>
      </c>
      <c r="AQ41" s="1">
        <v>1726</v>
      </c>
      <c r="AR41" s="38"/>
      <c r="AS41" s="12">
        <f t="shared" si="12"/>
        <v>-202</v>
      </c>
      <c r="AT41" s="14">
        <f t="shared" si="13"/>
        <v>0</v>
      </c>
      <c r="AU41" s="13" t="e">
        <f t="shared" si="14"/>
        <v>#DIV/0!</v>
      </c>
      <c r="AW41" s="16">
        <v>81</v>
      </c>
      <c r="AX41" s="35" t="s">
        <v>32</v>
      </c>
      <c r="AY41" s="1">
        <v>1947</v>
      </c>
      <c r="AZ41" s="38"/>
      <c r="BA41" s="12">
        <f t="shared" si="15"/>
        <v>221</v>
      </c>
      <c r="BB41" s="14">
        <f t="shared" si="16"/>
        <v>0</v>
      </c>
      <c r="BC41" s="13" t="e">
        <f t="shared" si="17"/>
        <v>#DIV/0!</v>
      </c>
      <c r="BE41" s="16">
        <v>81</v>
      </c>
      <c r="BF41" s="35" t="s">
        <v>32</v>
      </c>
      <c r="BG41" s="17">
        <v>1737</v>
      </c>
      <c r="BH41" s="36"/>
      <c r="BI41" s="12">
        <f t="shared" si="42"/>
        <v>-210</v>
      </c>
      <c r="BJ41" s="14">
        <f t="shared" si="43"/>
        <v>0</v>
      </c>
      <c r="BK41" s="13" t="e">
        <f t="shared" si="44"/>
        <v>#DIV/0!</v>
      </c>
      <c r="BM41" s="16">
        <v>81</v>
      </c>
      <c r="BN41" s="35" t="s">
        <v>32</v>
      </c>
      <c r="BO41" s="17">
        <v>1673</v>
      </c>
      <c r="BP41" s="36"/>
      <c r="BQ41" s="12">
        <f t="shared" si="21"/>
        <v>-64</v>
      </c>
      <c r="BR41" s="14">
        <f t="shared" si="22"/>
        <v>0</v>
      </c>
      <c r="BS41" s="13" t="e">
        <f t="shared" si="23"/>
        <v>#DIV/0!</v>
      </c>
      <c r="BU41" s="16">
        <v>81</v>
      </c>
      <c r="BV41" s="35" t="s">
        <v>32</v>
      </c>
      <c r="BW41" s="17">
        <v>1595</v>
      </c>
      <c r="BX41" s="36"/>
      <c r="BY41" s="12">
        <f t="shared" si="24"/>
        <v>-78</v>
      </c>
      <c r="BZ41" s="14">
        <f t="shared" si="25"/>
        <v>0</v>
      </c>
      <c r="CA41" s="13" t="e">
        <f t="shared" si="26"/>
        <v>#DIV/0!</v>
      </c>
      <c r="CC41" s="16">
        <v>81</v>
      </c>
      <c r="CD41" s="35" t="s">
        <v>32</v>
      </c>
      <c r="CE41" s="17">
        <v>1628</v>
      </c>
      <c r="CF41" s="36"/>
      <c r="CG41" s="12">
        <f t="shared" si="27"/>
        <v>33</v>
      </c>
      <c r="CH41" s="14">
        <f t="shared" si="28"/>
        <v>0</v>
      </c>
      <c r="CI41" s="13" t="e">
        <f t="shared" si="29"/>
        <v>#DIV/0!</v>
      </c>
      <c r="CK41" s="16">
        <v>81</v>
      </c>
      <c r="CL41" s="35" t="s">
        <v>32</v>
      </c>
      <c r="CM41" s="17">
        <v>1455</v>
      </c>
      <c r="CN41" s="36"/>
      <c r="CO41" s="12">
        <f t="shared" si="30"/>
        <v>-173</v>
      </c>
      <c r="CP41" s="14">
        <f t="shared" si="31"/>
        <v>0</v>
      </c>
      <c r="CQ41" s="13" t="e">
        <f t="shared" si="32"/>
        <v>#DIV/0!</v>
      </c>
      <c r="CS41" s="16">
        <v>81</v>
      </c>
      <c r="CT41" s="35" t="s">
        <v>32</v>
      </c>
      <c r="CU41" s="17">
        <v>1908</v>
      </c>
      <c r="CV41" s="36"/>
      <c r="CW41" s="12">
        <f t="shared" si="33"/>
        <v>453</v>
      </c>
      <c r="CX41" s="14">
        <f t="shared" si="34"/>
        <v>0</v>
      </c>
      <c r="CY41" s="13" t="e">
        <f t="shared" si="35"/>
        <v>#DIV/0!</v>
      </c>
    </row>
    <row r="42" spans="1:103" s="1" customFormat="1" ht="20" customHeight="1">
      <c r="A42" s="16"/>
      <c r="B42" s="35" t="s">
        <v>33</v>
      </c>
      <c r="C42" s="1">
        <v>16</v>
      </c>
      <c r="D42" s="38"/>
      <c r="E42" s="12"/>
      <c r="F42" s="14"/>
      <c r="G42" s="39"/>
      <c r="I42" s="16"/>
      <c r="J42" s="35" t="s">
        <v>33</v>
      </c>
      <c r="K42" s="1">
        <v>7</v>
      </c>
      <c r="L42" s="38"/>
      <c r="M42" s="12">
        <f t="shared" si="39"/>
        <v>-9</v>
      </c>
      <c r="N42" s="14">
        <f t="shared" si="40"/>
        <v>0</v>
      </c>
      <c r="O42" s="13" t="e">
        <f t="shared" si="41"/>
        <v>#DIV/0!</v>
      </c>
      <c r="Q42" s="16"/>
      <c r="R42" s="35" t="s">
        <v>33</v>
      </c>
      <c r="S42" s="1">
        <v>7</v>
      </c>
      <c r="T42" s="38"/>
      <c r="U42" s="12">
        <f t="shared" si="3"/>
        <v>0</v>
      </c>
      <c r="V42" s="14">
        <f t="shared" si="4"/>
        <v>0</v>
      </c>
      <c r="W42" s="13" t="e">
        <f t="shared" si="5"/>
        <v>#DIV/0!</v>
      </c>
      <c r="Y42" s="16"/>
      <c r="Z42" s="35" t="s">
        <v>33</v>
      </c>
      <c r="AA42" s="1">
        <v>11</v>
      </c>
      <c r="AB42" s="38"/>
      <c r="AC42" s="12">
        <f t="shared" si="6"/>
        <v>4</v>
      </c>
      <c r="AD42" s="14">
        <f t="shared" si="7"/>
        <v>0</v>
      </c>
      <c r="AE42" s="13" t="e">
        <f t="shared" si="8"/>
        <v>#DIV/0!</v>
      </c>
      <c r="AG42" s="16"/>
      <c r="AH42" s="35" t="s">
        <v>33</v>
      </c>
      <c r="AI42" s="1">
        <v>17</v>
      </c>
      <c r="AJ42" s="38"/>
      <c r="AK42" s="12">
        <f t="shared" si="9"/>
        <v>6</v>
      </c>
      <c r="AL42" s="14">
        <f t="shared" si="10"/>
        <v>0</v>
      </c>
      <c r="AM42" s="13" t="e">
        <f t="shared" si="11"/>
        <v>#DIV/0!</v>
      </c>
      <c r="AO42" s="16"/>
      <c r="AP42" s="35" t="s">
        <v>33</v>
      </c>
      <c r="AQ42" s="1">
        <v>8</v>
      </c>
      <c r="AR42" s="38"/>
      <c r="AS42" s="12">
        <f t="shared" si="12"/>
        <v>-9</v>
      </c>
      <c r="AT42" s="14">
        <f t="shared" si="13"/>
        <v>0</v>
      </c>
      <c r="AU42" s="13" t="e">
        <f t="shared" si="14"/>
        <v>#DIV/0!</v>
      </c>
      <c r="AW42" s="16"/>
      <c r="AX42" s="35" t="s">
        <v>33</v>
      </c>
      <c r="AY42" s="1">
        <v>10</v>
      </c>
      <c r="AZ42" s="38"/>
      <c r="BA42" s="12">
        <f t="shared" si="15"/>
        <v>2</v>
      </c>
      <c r="BB42" s="14">
        <f t="shared" si="16"/>
        <v>0</v>
      </c>
      <c r="BC42" s="13" t="e">
        <f t="shared" si="17"/>
        <v>#DIV/0!</v>
      </c>
      <c r="BE42" s="16"/>
      <c r="BF42" s="35" t="s">
        <v>33</v>
      </c>
      <c r="BG42" s="17">
        <v>13</v>
      </c>
      <c r="BH42" s="36"/>
      <c r="BI42" s="12">
        <f t="shared" si="42"/>
        <v>3</v>
      </c>
      <c r="BJ42" s="14">
        <f t="shared" si="43"/>
        <v>0</v>
      </c>
      <c r="BK42" s="13" t="e">
        <f t="shared" si="44"/>
        <v>#DIV/0!</v>
      </c>
      <c r="BM42" s="16"/>
      <c r="BN42" s="35" t="s">
        <v>33</v>
      </c>
      <c r="BO42" s="17">
        <v>8</v>
      </c>
      <c r="BP42" s="36"/>
      <c r="BQ42" s="12">
        <f t="shared" si="21"/>
        <v>-5</v>
      </c>
      <c r="BR42" s="14">
        <f t="shared" si="22"/>
        <v>0</v>
      </c>
      <c r="BS42" s="13" t="e">
        <f t="shared" si="23"/>
        <v>#DIV/0!</v>
      </c>
      <c r="BU42" s="16"/>
      <c r="BV42" s="35" t="s">
        <v>33</v>
      </c>
      <c r="BW42" s="17">
        <v>10</v>
      </c>
      <c r="BX42" s="36"/>
      <c r="BY42" s="12">
        <f t="shared" si="24"/>
        <v>2</v>
      </c>
      <c r="BZ42" s="14">
        <f t="shared" si="25"/>
        <v>0</v>
      </c>
      <c r="CA42" s="13" t="e">
        <f t="shared" si="26"/>
        <v>#DIV/0!</v>
      </c>
      <c r="CC42" s="16"/>
      <c r="CD42" s="35" t="s">
        <v>33</v>
      </c>
      <c r="CE42" s="17">
        <v>11</v>
      </c>
      <c r="CF42" s="36"/>
      <c r="CG42" s="12">
        <f t="shared" si="27"/>
        <v>1</v>
      </c>
      <c r="CH42" s="14">
        <f t="shared" si="28"/>
        <v>0</v>
      </c>
      <c r="CI42" s="13" t="e">
        <f t="shared" si="29"/>
        <v>#DIV/0!</v>
      </c>
      <c r="CK42" s="16"/>
      <c r="CL42" s="35" t="s">
        <v>33</v>
      </c>
      <c r="CM42" s="17">
        <v>9</v>
      </c>
      <c r="CN42" s="36"/>
      <c r="CO42" s="12">
        <f t="shared" si="30"/>
        <v>-2</v>
      </c>
      <c r="CP42" s="14">
        <f t="shared" si="31"/>
        <v>0</v>
      </c>
      <c r="CQ42" s="13" t="e">
        <f t="shared" si="32"/>
        <v>#DIV/0!</v>
      </c>
      <c r="CS42" s="16"/>
      <c r="CT42" s="35" t="s">
        <v>33</v>
      </c>
      <c r="CU42" s="17">
        <v>4</v>
      </c>
      <c r="CV42" s="36"/>
      <c r="CW42" s="12">
        <f t="shared" si="33"/>
        <v>-5</v>
      </c>
      <c r="CX42" s="14">
        <f t="shared" si="34"/>
        <v>0</v>
      </c>
      <c r="CY42" s="13" t="e">
        <f t="shared" si="35"/>
        <v>#DIV/0!</v>
      </c>
    </row>
    <row r="43" spans="1:103" s="12" customFormat="1" ht="20" customHeight="1">
      <c r="A43" s="16"/>
      <c r="B43" s="15" t="s">
        <v>10</v>
      </c>
      <c r="C43" s="12">
        <v>114</v>
      </c>
      <c r="D43" s="14">
        <v>103416.19047571998</v>
      </c>
      <c r="F43" s="14"/>
      <c r="G43" s="13"/>
      <c r="I43" s="16"/>
      <c r="J43" s="15" t="s">
        <v>10</v>
      </c>
      <c r="K43" s="12">
        <v>146</v>
      </c>
      <c r="L43" s="14">
        <v>140190.47618992999</v>
      </c>
      <c r="M43" s="12">
        <f t="shared" ref="M43:M51" si="51">K43-C43</f>
        <v>32</v>
      </c>
      <c r="N43" s="14">
        <f t="shared" ref="N43:N51" si="52">L43-D43</f>
        <v>36774.285714210011</v>
      </c>
      <c r="O43" s="13">
        <f t="shared" ref="O43:O51" si="53">(L43-D43)/D43</f>
        <v>0.35559505281567944</v>
      </c>
      <c r="Q43" s="16"/>
      <c r="R43" s="15" t="s">
        <v>10</v>
      </c>
      <c r="S43" s="12">
        <v>94</v>
      </c>
      <c r="T43" s="14">
        <v>87259.999999710024</v>
      </c>
      <c r="U43" s="12">
        <f t="shared" si="3"/>
        <v>-52</v>
      </c>
      <c r="V43" s="14">
        <f t="shared" si="4"/>
        <v>-52930.476190219968</v>
      </c>
      <c r="W43" s="13">
        <f t="shared" si="5"/>
        <v>-0.37756114130399115</v>
      </c>
      <c r="Y43" s="16"/>
      <c r="Z43" s="15" t="s">
        <v>10</v>
      </c>
      <c r="AA43" s="12">
        <v>178</v>
      </c>
      <c r="AB43" s="14">
        <v>153067.61904700991</v>
      </c>
      <c r="AC43" s="12">
        <f t="shared" si="6"/>
        <v>84</v>
      </c>
      <c r="AD43" s="14">
        <f t="shared" si="7"/>
        <v>65807.619047299886</v>
      </c>
      <c r="AE43" s="13">
        <f t="shared" si="8"/>
        <v>0.75415561594680924</v>
      </c>
      <c r="AG43" s="16"/>
      <c r="AH43" s="15" t="s">
        <v>10</v>
      </c>
      <c r="AI43" s="12">
        <v>150</v>
      </c>
      <c r="AJ43" s="14">
        <v>123528.57142812997</v>
      </c>
      <c r="AK43" s="12">
        <f t="shared" si="9"/>
        <v>-28</v>
      </c>
      <c r="AL43" s="14">
        <f t="shared" si="10"/>
        <v>-29539.047618879937</v>
      </c>
      <c r="AM43" s="13">
        <f t="shared" si="11"/>
        <v>-0.19298038215259589</v>
      </c>
      <c r="AO43" s="16"/>
      <c r="AP43" s="15" t="s">
        <v>10</v>
      </c>
      <c r="AQ43" s="12">
        <v>180</v>
      </c>
      <c r="AR43" s="14">
        <v>163674.28571369997</v>
      </c>
      <c r="AS43" s="12">
        <f t="shared" si="12"/>
        <v>30</v>
      </c>
      <c r="AT43" s="14">
        <f t="shared" si="13"/>
        <v>40145.714285569993</v>
      </c>
      <c r="AU43" s="13">
        <f t="shared" si="14"/>
        <v>0.324991326471602</v>
      </c>
      <c r="AW43" s="16"/>
      <c r="AX43" s="15" t="s">
        <v>10</v>
      </c>
      <c r="AY43" s="12">
        <v>147</v>
      </c>
      <c r="AZ43" s="14">
        <v>125936.19047562999</v>
      </c>
      <c r="BA43" s="12">
        <f t="shared" si="15"/>
        <v>-33</v>
      </c>
      <c r="BB43" s="14">
        <f t="shared" si="16"/>
        <v>-37738.095238069975</v>
      </c>
      <c r="BC43" s="13">
        <f t="shared" si="17"/>
        <v>-0.23056825984309884</v>
      </c>
      <c r="BE43" s="16"/>
      <c r="BF43" s="15" t="s">
        <v>10</v>
      </c>
      <c r="BG43" s="12">
        <v>161</v>
      </c>
      <c r="BH43" s="14">
        <v>127592.38095183</v>
      </c>
      <c r="BI43" s="12">
        <f t="shared" si="42"/>
        <v>14</v>
      </c>
      <c r="BJ43" s="14">
        <f t="shared" si="43"/>
        <v>1656.1904762000049</v>
      </c>
      <c r="BK43" s="13">
        <f t="shared" si="44"/>
        <v>1.3151028865848499E-2</v>
      </c>
      <c r="BM43" s="16"/>
      <c r="BN43" s="15" t="s">
        <v>10</v>
      </c>
      <c r="BO43" s="12">
        <v>135</v>
      </c>
      <c r="BP43" s="14">
        <v>108962.85714237997</v>
      </c>
      <c r="BQ43" s="12">
        <f t="shared" si="21"/>
        <v>-26</v>
      </c>
      <c r="BR43" s="14">
        <f t="shared" si="22"/>
        <v>-18629.523809450024</v>
      </c>
      <c r="BS43" s="13">
        <f t="shared" si="23"/>
        <v>-0.14600812109998351</v>
      </c>
      <c r="BU43" s="16"/>
      <c r="BV43" s="15" t="s">
        <v>10</v>
      </c>
      <c r="BW43" s="12">
        <v>119</v>
      </c>
      <c r="BX43" s="14">
        <v>100208.57142813996</v>
      </c>
      <c r="BY43" s="12">
        <f t="shared" si="24"/>
        <v>-16</v>
      </c>
      <c r="BZ43" s="14">
        <f t="shared" si="25"/>
        <v>-8754.2857142400171</v>
      </c>
      <c r="CA43" s="13">
        <f t="shared" si="26"/>
        <v>-8.034192516447082E-2</v>
      </c>
      <c r="CC43" s="16"/>
      <c r="CD43" s="15" t="s">
        <v>10</v>
      </c>
      <c r="CE43" s="12">
        <v>169</v>
      </c>
      <c r="CF43" s="14">
        <v>138360.95238042992</v>
      </c>
      <c r="CG43" s="12">
        <f t="shared" si="27"/>
        <v>50</v>
      </c>
      <c r="CH43" s="14">
        <f t="shared" si="28"/>
        <v>38152.380952289968</v>
      </c>
      <c r="CI43" s="13">
        <f t="shared" si="29"/>
        <v>0.38072971611664203</v>
      </c>
      <c r="CK43" s="16"/>
      <c r="CL43" s="15" t="s">
        <v>10</v>
      </c>
      <c r="CM43" s="12">
        <v>102</v>
      </c>
      <c r="CN43" s="14">
        <v>88763.809523439981</v>
      </c>
      <c r="CO43" s="12">
        <f t="shared" si="30"/>
        <v>-67</v>
      </c>
      <c r="CP43" s="14">
        <f t="shared" si="31"/>
        <v>-49597.142856989944</v>
      </c>
      <c r="CQ43" s="13">
        <f t="shared" si="32"/>
        <v>-0.35846199381903843</v>
      </c>
      <c r="CS43" s="16"/>
      <c r="CT43" s="15" t="s">
        <v>10</v>
      </c>
      <c r="CU43" s="12">
        <v>130</v>
      </c>
      <c r="CV43" s="14">
        <v>123400.95238055992</v>
      </c>
      <c r="CW43" s="12">
        <f t="shared" si="33"/>
        <v>28</v>
      </c>
      <c r="CX43" s="14">
        <f t="shared" si="34"/>
        <v>34637.142857119936</v>
      </c>
      <c r="CY43" s="13">
        <f t="shared" si="35"/>
        <v>0.39021694813552654</v>
      </c>
    </row>
    <row r="44" spans="1:103" s="12" customFormat="1" ht="20" customHeight="1">
      <c r="A44" s="16"/>
      <c r="B44" s="15" t="s">
        <v>9</v>
      </c>
      <c r="C44" s="12">
        <v>75</v>
      </c>
      <c r="D44" s="14">
        <v>70438.09523798</v>
      </c>
      <c r="F44" s="14"/>
      <c r="G44" s="13"/>
      <c r="I44" s="16"/>
      <c r="J44" s="15" t="s">
        <v>9</v>
      </c>
      <c r="K44" s="12">
        <v>101</v>
      </c>
      <c r="L44" s="14">
        <v>84724.761904650004</v>
      </c>
      <c r="M44" s="12">
        <f t="shared" si="51"/>
        <v>26</v>
      </c>
      <c r="N44" s="14">
        <f t="shared" si="52"/>
        <v>14286.666666670004</v>
      </c>
      <c r="O44" s="13">
        <f t="shared" si="53"/>
        <v>0.20282585181216936</v>
      </c>
      <c r="Q44" s="16"/>
      <c r="R44" s="15" t="s">
        <v>9</v>
      </c>
      <c r="S44" s="12">
        <v>90</v>
      </c>
      <c r="T44" s="14">
        <v>80380.95238088</v>
      </c>
      <c r="U44" s="12">
        <f t="shared" si="3"/>
        <v>-11</v>
      </c>
      <c r="V44" s="14">
        <f t="shared" si="4"/>
        <v>-4343.8095237700036</v>
      </c>
      <c r="W44" s="13">
        <f t="shared" si="5"/>
        <v>-5.1269657489962206E-2</v>
      </c>
      <c r="Y44" s="16"/>
      <c r="Z44" s="15" t="s">
        <v>9</v>
      </c>
      <c r="AA44" s="12">
        <v>98</v>
      </c>
      <c r="AB44" s="14">
        <v>83849.523809420003</v>
      </c>
      <c r="AC44" s="12">
        <f t="shared" si="6"/>
        <v>8</v>
      </c>
      <c r="AD44" s="14">
        <f t="shared" si="7"/>
        <v>3468.5714285400027</v>
      </c>
      <c r="AE44" s="13">
        <f t="shared" si="8"/>
        <v>4.3151658767420407E-2</v>
      </c>
      <c r="AG44" s="16"/>
      <c r="AH44" s="15" t="s">
        <v>9</v>
      </c>
      <c r="AI44" s="12">
        <v>74</v>
      </c>
      <c r="AJ44" s="14">
        <v>59010.476190410001</v>
      </c>
      <c r="AK44" s="12">
        <f t="shared" si="9"/>
        <v>-24</v>
      </c>
      <c r="AL44" s="14">
        <f t="shared" si="10"/>
        <v>-24839.047619010002</v>
      </c>
      <c r="AM44" s="13">
        <f t="shared" si="11"/>
        <v>-0.29623361577420765</v>
      </c>
      <c r="AO44" s="16"/>
      <c r="AP44" s="15" t="s">
        <v>9</v>
      </c>
      <c r="AQ44" s="12">
        <v>70</v>
      </c>
      <c r="AR44" s="14">
        <v>63999.999999920015</v>
      </c>
      <c r="AS44" s="12">
        <f t="shared" si="12"/>
        <v>-4</v>
      </c>
      <c r="AT44" s="14">
        <f t="shared" si="13"/>
        <v>4989.523809510014</v>
      </c>
      <c r="AU44" s="13">
        <f t="shared" si="14"/>
        <v>8.4553186681806156E-2</v>
      </c>
      <c r="AW44" s="16"/>
      <c r="AX44" s="15" t="s">
        <v>9</v>
      </c>
      <c r="AY44" s="12">
        <v>95</v>
      </c>
      <c r="AZ44" s="14">
        <v>86306.666666549994</v>
      </c>
      <c r="BA44" s="12">
        <f t="shared" si="15"/>
        <v>25</v>
      </c>
      <c r="BB44" s="14">
        <f t="shared" si="16"/>
        <v>22306.666666629979</v>
      </c>
      <c r="BC44" s="13">
        <f t="shared" si="17"/>
        <v>0.34854166666652903</v>
      </c>
      <c r="BE44" s="16"/>
      <c r="BF44" s="15" t="s">
        <v>9</v>
      </c>
      <c r="BG44" s="12">
        <v>75</v>
      </c>
      <c r="BH44" s="14">
        <v>58333.333333240007</v>
      </c>
      <c r="BI44" s="12">
        <f t="shared" si="42"/>
        <v>-20</v>
      </c>
      <c r="BJ44" s="14">
        <f t="shared" si="43"/>
        <v>-27973.333333309987</v>
      </c>
      <c r="BK44" s="13">
        <f t="shared" si="44"/>
        <v>-0.32411555692894872</v>
      </c>
      <c r="BM44" s="16"/>
      <c r="BN44" s="15" t="s">
        <v>9</v>
      </c>
      <c r="BO44" s="12">
        <v>86</v>
      </c>
      <c r="BP44" s="14">
        <v>72449.523809409991</v>
      </c>
      <c r="BQ44" s="12">
        <f t="shared" si="21"/>
        <v>11</v>
      </c>
      <c r="BR44" s="14">
        <f t="shared" si="22"/>
        <v>14116.190476169984</v>
      </c>
      <c r="BS44" s="13">
        <f t="shared" si="23"/>
        <v>0.24199183673472974</v>
      </c>
      <c r="BU44" s="16"/>
      <c r="BV44" s="15" t="s">
        <v>9</v>
      </c>
      <c r="BW44" s="12">
        <v>98</v>
      </c>
      <c r="BX44" s="14">
        <v>89000.952380849994</v>
      </c>
      <c r="BY44" s="12">
        <f t="shared" si="24"/>
        <v>12</v>
      </c>
      <c r="BZ44" s="14">
        <f t="shared" si="25"/>
        <v>16551.428571440003</v>
      </c>
      <c r="CA44" s="13">
        <f t="shared" si="26"/>
        <v>0.22845462193762889</v>
      </c>
      <c r="CC44" s="16"/>
      <c r="CD44" s="15" t="s">
        <v>9</v>
      </c>
      <c r="CE44" s="12">
        <v>85</v>
      </c>
      <c r="CF44" s="14">
        <v>83525.71428563002</v>
      </c>
      <c r="CG44" s="12">
        <f t="shared" si="27"/>
        <v>-13</v>
      </c>
      <c r="CH44" s="14">
        <f t="shared" si="28"/>
        <v>-5475.2380952199746</v>
      </c>
      <c r="CI44" s="13">
        <f t="shared" si="29"/>
        <v>-6.1518870851971483E-2</v>
      </c>
      <c r="CK44" s="16"/>
      <c r="CL44" s="15" t="s">
        <v>9</v>
      </c>
      <c r="CM44" s="12">
        <v>73</v>
      </c>
      <c r="CN44" s="14">
        <v>77722.857142780005</v>
      </c>
      <c r="CO44" s="12">
        <f t="shared" si="30"/>
        <v>-12</v>
      </c>
      <c r="CP44" s="14">
        <f t="shared" si="31"/>
        <v>-5802.8571428500145</v>
      </c>
      <c r="CQ44" s="13">
        <f t="shared" si="32"/>
        <v>-6.9473900253114659E-2</v>
      </c>
      <c r="CS44" s="16"/>
      <c r="CT44" s="15" t="s">
        <v>9</v>
      </c>
      <c r="CU44" s="12">
        <v>80</v>
      </c>
      <c r="CV44" s="14">
        <v>101375.23809513998</v>
      </c>
      <c r="CW44" s="12">
        <f t="shared" si="33"/>
        <v>7</v>
      </c>
      <c r="CX44" s="14">
        <f t="shared" si="34"/>
        <v>23652.380952359978</v>
      </c>
      <c r="CY44" s="13">
        <f t="shared" si="35"/>
        <v>0.30431692582929121</v>
      </c>
    </row>
    <row r="45" spans="1:103" s="12" customFormat="1" ht="20" customHeight="1">
      <c r="A45" s="16"/>
      <c r="B45" s="15" t="s">
        <v>8</v>
      </c>
      <c r="C45" s="12">
        <v>16</v>
      </c>
      <c r="D45" s="14">
        <v>94133.333333319999</v>
      </c>
      <c r="F45" s="14"/>
      <c r="G45" s="13"/>
      <c r="I45" s="16"/>
      <c r="J45" s="15" t="s">
        <v>8</v>
      </c>
      <c r="K45" s="12">
        <v>17</v>
      </c>
      <c r="L45" s="14">
        <v>91266.666666649995</v>
      </c>
      <c r="M45" s="12">
        <f t="shared" si="51"/>
        <v>1</v>
      </c>
      <c r="N45" s="14">
        <f t="shared" si="52"/>
        <v>-2866.6666666700039</v>
      </c>
      <c r="O45" s="13">
        <f t="shared" si="53"/>
        <v>-3.0453257790408039E-2</v>
      </c>
      <c r="Q45" s="16"/>
      <c r="R45" s="15" t="s">
        <v>8</v>
      </c>
      <c r="S45" s="12">
        <v>5</v>
      </c>
      <c r="T45" s="14">
        <v>37095.238095230001</v>
      </c>
      <c r="U45" s="12">
        <f t="shared" si="3"/>
        <v>-12</v>
      </c>
      <c r="V45" s="14">
        <f t="shared" si="4"/>
        <v>-54171.428571419994</v>
      </c>
      <c r="W45" s="13">
        <f t="shared" si="5"/>
        <v>-0.59355108003758095</v>
      </c>
      <c r="Y45" s="16"/>
      <c r="Z45" s="15" t="s">
        <v>8</v>
      </c>
      <c r="AA45" s="12">
        <v>9</v>
      </c>
      <c r="AB45" s="14">
        <v>59914.285714279999</v>
      </c>
      <c r="AC45" s="12">
        <f t="shared" si="6"/>
        <v>4</v>
      </c>
      <c r="AD45" s="14">
        <f t="shared" si="7"/>
        <v>22819.047619049998</v>
      </c>
      <c r="AE45" s="13">
        <f t="shared" si="8"/>
        <v>0.61514762516066046</v>
      </c>
      <c r="AG45" s="16"/>
      <c r="AH45" s="15" t="s">
        <v>8</v>
      </c>
      <c r="AI45" s="12">
        <v>8</v>
      </c>
      <c r="AJ45" s="14">
        <v>39923.809523799995</v>
      </c>
      <c r="AK45" s="12">
        <f t="shared" si="9"/>
        <v>-1</v>
      </c>
      <c r="AL45" s="14">
        <f t="shared" si="10"/>
        <v>-19990.476190480003</v>
      </c>
      <c r="AM45" s="13">
        <f t="shared" si="11"/>
        <v>-0.33365124781443339</v>
      </c>
      <c r="AO45" s="16"/>
      <c r="AP45" s="15" t="s">
        <v>8</v>
      </c>
      <c r="AQ45" s="12">
        <v>7</v>
      </c>
      <c r="AR45" s="14">
        <v>39933.333333330003</v>
      </c>
      <c r="AS45" s="12">
        <f t="shared" si="12"/>
        <v>-1</v>
      </c>
      <c r="AT45" s="14">
        <f t="shared" si="13"/>
        <v>9.5238095300082932</v>
      </c>
      <c r="AU45" s="13">
        <f t="shared" si="14"/>
        <v>2.3854961847593261E-4</v>
      </c>
      <c r="AW45" s="16"/>
      <c r="AX45" s="15" t="s">
        <v>8</v>
      </c>
      <c r="AY45" s="12">
        <v>13</v>
      </c>
      <c r="AZ45" s="14">
        <v>65590.476190469999</v>
      </c>
      <c r="BA45" s="12">
        <f t="shared" si="15"/>
        <v>6</v>
      </c>
      <c r="BB45" s="14">
        <f t="shared" si="16"/>
        <v>25657.142857139996</v>
      </c>
      <c r="BC45" s="13">
        <f t="shared" si="17"/>
        <v>0.64249940376816694</v>
      </c>
      <c r="BE45" s="16"/>
      <c r="BF45" s="15" t="s">
        <v>8</v>
      </c>
      <c r="BG45" s="12">
        <v>32</v>
      </c>
      <c r="BH45" s="14">
        <v>204697.14285713001</v>
      </c>
      <c r="BI45" s="12">
        <f t="shared" si="42"/>
        <v>19</v>
      </c>
      <c r="BJ45" s="14">
        <f t="shared" si="43"/>
        <v>139106.66666665999</v>
      </c>
      <c r="BK45" s="13">
        <f t="shared" si="44"/>
        <v>2.120836358356422</v>
      </c>
      <c r="BM45" s="16"/>
      <c r="BN45" s="15" t="s">
        <v>8</v>
      </c>
      <c r="BO45" s="12">
        <v>35</v>
      </c>
      <c r="BP45" s="14">
        <v>226809.52380950999</v>
      </c>
      <c r="BQ45" s="12">
        <f t="shared" si="21"/>
        <v>3</v>
      </c>
      <c r="BR45" s="14">
        <f t="shared" si="22"/>
        <v>22112.380952379986</v>
      </c>
      <c r="BS45" s="13">
        <f t="shared" si="23"/>
        <v>0.10802486367781644</v>
      </c>
      <c r="BU45" s="16"/>
      <c r="BV45" s="15" t="s">
        <v>8</v>
      </c>
      <c r="BW45" s="12">
        <v>26</v>
      </c>
      <c r="BX45" s="14">
        <v>186895.23809522</v>
      </c>
      <c r="BY45" s="12">
        <f t="shared" si="24"/>
        <v>-9</v>
      </c>
      <c r="BZ45" s="14">
        <f t="shared" si="25"/>
        <v>-39914.285714289988</v>
      </c>
      <c r="CA45" s="13">
        <f t="shared" si="26"/>
        <v>-0.17598152424945221</v>
      </c>
      <c r="CC45" s="16"/>
      <c r="CD45" s="15" t="s">
        <v>8</v>
      </c>
      <c r="CE45" s="12">
        <v>26</v>
      </c>
      <c r="CF45" s="14">
        <v>152609.52380950999</v>
      </c>
      <c r="CG45" s="12">
        <f t="shared" si="27"/>
        <v>0</v>
      </c>
      <c r="CH45" s="14">
        <f t="shared" si="28"/>
        <v>-34285.714285710012</v>
      </c>
      <c r="CI45" s="13">
        <f t="shared" si="29"/>
        <v>-0.18344883815735322</v>
      </c>
      <c r="CK45" s="16"/>
      <c r="CL45" s="15" t="s">
        <v>8</v>
      </c>
      <c r="CM45" s="12">
        <v>20</v>
      </c>
      <c r="CN45" s="14">
        <v>139809.52380950999</v>
      </c>
      <c r="CO45" s="12">
        <f t="shared" si="30"/>
        <v>-6</v>
      </c>
      <c r="CP45" s="14">
        <f t="shared" si="31"/>
        <v>-12800</v>
      </c>
      <c r="CQ45" s="13">
        <f t="shared" si="32"/>
        <v>-8.387418871693221E-2</v>
      </c>
      <c r="CS45" s="16"/>
      <c r="CT45" s="15" t="s">
        <v>8</v>
      </c>
      <c r="CU45" s="12">
        <v>25</v>
      </c>
      <c r="CV45" s="14">
        <v>171190.47619046</v>
      </c>
      <c r="CW45" s="12">
        <f t="shared" si="33"/>
        <v>5</v>
      </c>
      <c r="CX45" s="14">
        <f t="shared" si="34"/>
        <v>31380.95238095001</v>
      </c>
      <c r="CY45" s="13">
        <f t="shared" si="35"/>
        <v>0.22445504087193982</v>
      </c>
    </row>
    <row r="46" spans="1:103" s="12" customFormat="1" ht="20" customHeight="1">
      <c r="A46" s="16"/>
      <c r="B46" s="15" t="s">
        <v>7</v>
      </c>
      <c r="C46" s="12">
        <v>13</v>
      </c>
      <c r="D46" s="14">
        <v>167333.33333330002</v>
      </c>
      <c r="F46" s="14"/>
      <c r="G46" s="13"/>
      <c r="I46" s="16"/>
      <c r="J46" s="15" t="s">
        <v>7</v>
      </c>
      <c r="K46" s="12">
        <v>25</v>
      </c>
      <c r="L46" s="14">
        <v>300476.19047614001</v>
      </c>
      <c r="M46" s="12">
        <f t="shared" si="51"/>
        <v>12</v>
      </c>
      <c r="N46" s="14">
        <f t="shared" si="52"/>
        <v>133142.85714283999</v>
      </c>
      <c r="O46" s="13">
        <f t="shared" si="53"/>
        <v>0.79567444507689145</v>
      </c>
      <c r="Q46" s="16"/>
      <c r="R46" s="15" t="s">
        <v>7</v>
      </c>
      <c r="S46" s="12">
        <v>14</v>
      </c>
      <c r="T46" s="14">
        <v>178666.66666660999</v>
      </c>
      <c r="U46" s="12">
        <f t="shared" si="3"/>
        <v>-11</v>
      </c>
      <c r="V46" s="14">
        <f t="shared" si="4"/>
        <v>-121809.52380953002</v>
      </c>
      <c r="W46" s="13">
        <f t="shared" si="5"/>
        <v>-0.40538827258329002</v>
      </c>
      <c r="Y46" s="16"/>
      <c r="Z46" s="15" t="s">
        <v>7</v>
      </c>
      <c r="AA46" s="12">
        <v>7</v>
      </c>
      <c r="AB46" s="14">
        <v>81238.095238080001</v>
      </c>
      <c r="AC46" s="12">
        <f t="shared" si="6"/>
        <v>-7</v>
      </c>
      <c r="AD46" s="14">
        <f t="shared" si="7"/>
        <v>-97428.571428529991</v>
      </c>
      <c r="AE46" s="13">
        <f t="shared" si="8"/>
        <v>-0.5453091684434378</v>
      </c>
      <c r="AG46" s="16"/>
      <c r="AH46" s="15" t="s">
        <v>7</v>
      </c>
      <c r="AI46" s="12">
        <v>11</v>
      </c>
      <c r="AJ46" s="14">
        <v>125619.04761899999</v>
      </c>
      <c r="AK46" s="12">
        <f t="shared" si="9"/>
        <v>4</v>
      </c>
      <c r="AL46" s="14">
        <f t="shared" si="10"/>
        <v>44380.952380919989</v>
      </c>
      <c r="AM46" s="13">
        <f t="shared" si="11"/>
        <v>0.54630715123065332</v>
      </c>
      <c r="AO46" s="16"/>
      <c r="AP46" s="15" t="s">
        <v>7</v>
      </c>
      <c r="AQ46" s="12">
        <v>19</v>
      </c>
      <c r="AR46" s="14">
        <v>241047.61904756003</v>
      </c>
      <c r="AS46" s="12">
        <f t="shared" si="12"/>
        <v>8</v>
      </c>
      <c r="AT46" s="14">
        <f t="shared" si="13"/>
        <v>115428.57142856004</v>
      </c>
      <c r="AU46" s="13">
        <f t="shared" si="14"/>
        <v>0.91887793783194838</v>
      </c>
      <c r="AW46" s="16"/>
      <c r="AX46" s="15" t="s">
        <v>7</v>
      </c>
      <c r="AY46" s="12">
        <v>10</v>
      </c>
      <c r="AZ46" s="14">
        <v>111428.57142854</v>
      </c>
      <c r="BA46" s="12">
        <f t="shared" si="15"/>
        <v>-9</v>
      </c>
      <c r="BB46" s="14">
        <f t="shared" si="16"/>
        <v>-129619.04761902003</v>
      </c>
      <c r="BC46" s="13">
        <f t="shared" si="17"/>
        <v>-0.53773212169104845</v>
      </c>
      <c r="BE46" s="16"/>
      <c r="BF46" s="15" t="s">
        <v>7</v>
      </c>
      <c r="BG46" s="12">
        <v>6</v>
      </c>
      <c r="BH46" s="14">
        <v>74666.666666659992</v>
      </c>
      <c r="BI46" s="12">
        <f t="shared" si="42"/>
        <v>-4</v>
      </c>
      <c r="BJ46" s="14">
        <f t="shared" si="43"/>
        <v>-36761.90476188001</v>
      </c>
      <c r="BK46" s="13">
        <f t="shared" si="44"/>
        <v>-0.32991452991440084</v>
      </c>
      <c r="BM46" s="16"/>
      <c r="BN46" s="15" t="s">
        <v>7</v>
      </c>
      <c r="BO46" s="12">
        <v>24</v>
      </c>
      <c r="BP46" s="14">
        <v>303428.57142852002</v>
      </c>
      <c r="BQ46" s="12">
        <f t="shared" si="21"/>
        <v>18</v>
      </c>
      <c r="BR46" s="14">
        <f t="shared" si="22"/>
        <v>228761.90476186003</v>
      </c>
      <c r="BS46" s="13">
        <f t="shared" si="23"/>
        <v>3.0637755102037563</v>
      </c>
      <c r="BU46" s="16"/>
      <c r="BV46" s="15" t="s">
        <v>7</v>
      </c>
      <c r="BW46" s="12">
        <v>11</v>
      </c>
      <c r="BX46" s="14">
        <v>134190.47619044001</v>
      </c>
      <c r="BY46" s="12">
        <f t="shared" si="24"/>
        <v>-13</v>
      </c>
      <c r="BZ46" s="14">
        <f t="shared" si="25"/>
        <v>-169238.09523808002</v>
      </c>
      <c r="CA46" s="13">
        <f t="shared" si="26"/>
        <v>-0.55775266792220379</v>
      </c>
      <c r="CC46" s="16"/>
      <c r="CD46" s="15" t="s">
        <v>7</v>
      </c>
      <c r="CE46" s="12">
        <v>9</v>
      </c>
      <c r="CF46" s="14">
        <v>114380.95238094001</v>
      </c>
      <c r="CG46" s="12">
        <f t="shared" si="27"/>
        <v>-2</v>
      </c>
      <c r="CH46" s="14">
        <f t="shared" si="28"/>
        <v>-19809.523809499995</v>
      </c>
      <c r="CI46" s="13">
        <f t="shared" si="29"/>
        <v>-0.14762242725323352</v>
      </c>
      <c r="CK46" s="16"/>
      <c r="CL46" s="15" t="s">
        <v>7</v>
      </c>
      <c r="CM46" s="12">
        <v>16</v>
      </c>
      <c r="CN46" s="14">
        <v>229904.76190471</v>
      </c>
      <c r="CO46" s="12">
        <f t="shared" si="30"/>
        <v>7</v>
      </c>
      <c r="CP46" s="14">
        <f t="shared" si="31"/>
        <v>115523.80952376999</v>
      </c>
      <c r="CQ46" s="13">
        <f t="shared" si="32"/>
        <v>1.0099916736050925</v>
      </c>
      <c r="CS46" s="16"/>
      <c r="CT46" s="15" t="s">
        <v>7</v>
      </c>
      <c r="CU46" s="12">
        <v>12</v>
      </c>
      <c r="CV46" s="14">
        <v>131238.09523806002</v>
      </c>
      <c r="CW46" s="12">
        <f t="shared" si="33"/>
        <v>-4</v>
      </c>
      <c r="CX46" s="14">
        <f t="shared" si="34"/>
        <v>-98666.66666664998</v>
      </c>
      <c r="CY46" s="13">
        <f t="shared" si="35"/>
        <v>-0.42916321458163159</v>
      </c>
    </row>
    <row r="47" spans="1:103" s="12" customFormat="1" ht="20" customHeight="1">
      <c r="A47" s="16"/>
      <c r="B47" s="15" t="s">
        <v>6</v>
      </c>
      <c r="C47" s="12">
        <v>1</v>
      </c>
      <c r="D47" s="14">
        <v>2857.1428571400002</v>
      </c>
      <c r="F47" s="14"/>
      <c r="G47" s="13"/>
      <c r="I47" s="16"/>
      <c r="J47" s="15" t="s">
        <v>6</v>
      </c>
      <c r="K47" s="12">
        <v>0</v>
      </c>
      <c r="L47" s="14">
        <v>0</v>
      </c>
      <c r="M47" s="12">
        <f t="shared" si="51"/>
        <v>-1</v>
      </c>
      <c r="N47" s="14">
        <f t="shared" si="52"/>
        <v>-2857.1428571400002</v>
      </c>
      <c r="O47" s="13">
        <f t="shared" si="53"/>
        <v>-1</v>
      </c>
      <c r="Q47" s="16"/>
      <c r="R47" s="15" t="s">
        <v>6</v>
      </c>
      <c r="S47" s="12">
        <v>3</v>
      </c>
      <c r="T47" s="14">
        <v>14571.42857142</v>
      </c>
      <c r="U47" s="12">
        <f t="shared" si="3"/>
        <v>3</v>
      </c>
      <c r="V47" s="14">
        <f t="shared" si="4"/>
        <v>14571.42857142</v>
      </c>
      <c r="W47" s="13" t="e">
        <f t="shared" si="5"/>
        <v>#DIV/0!</v>
      </c>
      <c r="Y47" s="16"/>
      <c r="Z47" s="15" t="s">
        <v>6</v>
      </c>
      <c r="AA47" s="12">
        <v>2</v>
      </c>
      <c r="AB47" s="14">
        <v>5714.2857142800003</v>
      </c>
      <c r="AC47" s="12">
        <f t="shared" si="6"/>
        <v>-1</v>
      </c>
      <c r="AD47" s="14">
        <f t="shared" si="7"/>
        <v>-8857.1428571399993</v>
      </c>
      <c r="AE47" s="13">
        <f t="shared" si="8"/>
        <v>-0.60784313725506345</v>
      </c>
      <c r="AG47" s="16"/>
      <c r="AH47" s="15" t="s">
        <v>6</v>
      </c>
      <c r="AJ47" s="14"/>
      <c r="AK47" s="12">
        <f t="shared" si="9"/>
        <v>-2</v>
      </c>
      <c r="AL47" s="14">
        <f t="shared" si="10"/>
        <v>-5714.2857142800003</v>
      </c>
      <c r="AM47" s="13">
        <f t="shared" si="11"/>
        <v>-1</v>
      </c>
      <c r="AO47" s="16"/>
      <c r="AP47" s="15" t="s">
        <v>6</v>
      </c>
      <c r="AR47" s="14"/>
      <c r="AS47" s="12">
        <f t="shared" si="12"/>
        <v>0</v>
      </c>
      <c r="AT47" s="14">
        <f t="shared" si="13"/>
        <v>0</v>
      </c>
      <c r="AU47" s="13" t="e">
        <f t="shared" si="14"/>
        <v>#DIV/0!</v>
      </c>
      <c r="AW47" s="16"/>
      <c r="AX47" s="15" t="s">
        <v>6</v>
      </c>
      <c r="AY47" s="12">
        <v>1</v>
      </c>
      <c r="AZ47" s="14">
        <v>2857.1428571400002</v>
      </c>
      <c r="BA47" s="12">
        <f t="shared" si="15"/>
        <v>1</v>
      </c>
      <c r="BB47" s="14">
        <f t="shared" si="16"/>
        <v>2857.1428571400002</v>
      </c>
      <c r="BC47" s="13" t="e">
        <f t="shared" si="17"/>
        <v>#DIV/0!</v>
      </c>
      <c r="BE47" s="16"/>
      <c r="BF47" s="15" t="s">
        <v>6</v>
      </c>
      <c r="BG47" s="12">
        <v>0</v>
      </c>
      <c r="BH47" s="14">
        <v>0</v>
      </c>
      <c r="BI47" s="12">
        <f t="shared" si="42"/>
        <v>-1</v>
      </c>
      <c r="BJ47" s="14">
        <f t="shared" si="43"/>
        <v>-2857.1428571400002</v>
      </c>
      <c r="BK47" s="13">
        <f t="shared" si="44"/>
        <v>-1</v>
      </c>
      <c r="BM47" s="16"/>
      <c r="BN47" s="15" t="s">
        <v>6</v>
      </c>
      <c r="BO47" s="12">
        <v>0</v>
      </c>
      <c r="BP47" s="14">
        <v>0</v>
      </c>
      <c r="BQ47" s="12">
        <f t="shared" si="21"/>
        <v>0</v>
      </c>
      <c r="BR47" s="14">
        <f t="shared" si="22"/>
        <v>0</v>
      </c>
      <c r="BS47" s="13" t="e">
        <f t="shared" si="23"/>
        <v>#DIV/0!</v>
      </c>
      <c r="BU47" s="16"/>
      <c r="BV47" s="15" t="s">
        <v>6</v>
      </c>
      <c r="BW47" s="12">
        <v>0</v>
      </c>
      <c r="BX47" s="14">
        <v>0</v>
      </c>
      <c r="BY47" s="12">
        <f t="shared" si="24"/>
        <v>0</v>
      </c>
      <c r="BZ47" s="14">
        <f t="shared" si="25"/>
        <v>0</v>
      </c>
      <c r="CA47" s="13" t="e">
        <f t="shared" si="26"/>
        <v>#DIV/0!</v>
      </c>
      <c r="CC47" s="16"/>
      <c r="CD47" s="15" t="s">
        <v>6</v>
      </c>
      <c r="CE47" s="12">
        <v>0</v>
      </c>
      <c r="CF47" s="14">
        <v>0</v>
      </c>
      <c r="CG47" s="12">
        <f t="shared" si="27"/>
        <v>0</v>
      </c>
      <c r="CH47" s="14">
        <f t="shared" si="28"/>
        <v>0</v>
      </c>
      <c r="CI47" s="13" t="e">
        <f t="shared" si="29"/>
        <v>#DIV/0!</v>
      </c>
      <c r="CK47" s="16"/>
      <c r="CL47" s="15" t="s">
        <v>6</v>
      </c>
      <c r="CM47" s="12">
        <v>0</v>
      </c>
      <c r="CN47" s="14">
        <v>0</v>
      </c>
      <c r="CO47" s="12">
        <f t="shared" si="30"/>
        <v>0</v>
      </c>
      <c r="CP47" s="14">
        <f t="shared" si="31"/>
        <v>0</v>
      </c>
      <c r="CQ47" s="13" t="e">
        <f t="shared" si="32"/>
        <v>#DIV/0!</v>
      </c>
      <c r="CS47" s="16"/>
      <c r="CT47" s="15" t="s">
        <v>6</v>
      </c>
      <c r="CU47" s="12">
        <v>1</v>
      </c>
      <c r="CV47" s="14">
        <v>8857.1428571399993</v>
      </c>
      <c r="CW47" s="12">
        <f t="shared" si="33"/>
        <v>1</v>
      </c>
      <c r="CX47" s="14">
        <f t="shared" si="34"/>
        <v>8857.1428571399993</v>
      </c>
      <c r="CY47" s="13" t="e">
        <f t="shared" si="35"/>
        <v>#DIV/0!</v>
      </c>
    </row>
    <row r="48" spans="1:103" s="12" customFormat="1" ht="20" customHeight="1">
      <c r="A48" s="16"/>
      <c r="B48" s="15" t="s">
        <v>5</v>
      </c>
      <c r="C48" s="12">
        <v>1</v>
      </c>
      <c r="D48" s="14">
        <v>8990</v>
      </c>
      <c r="F48" s="14"/>
      <c r="G48" s="13"/>
      <c r="I48" s="16"/>
      <c r="J48" s="15" t="s">
        <v>5</v>
      </c>
      <c r="K48" s="12">
        <v>1</v>
      </c>
      <c r="L48" s="14">
        <v>2190</v>
      </c>
      <c r="M48" s="12">
        <f t="shared" si="51"/>
        <v>0</v>
      </c>
      <c r="N48" s="14">
        <f t="shared" si="52"/>
        <v>-6800</v>
      </c>
      <c r="O48" s="13">
        <f t="shared" si="53"/>
        <v>-0.75639599555061177</v>
      </c>
      <c r="Q48" s="16"/>
      <c r="R48" s="15" t="s">
        <v>5</v>
      </c>
      <c r="S48" s="12">
        <v>0</v>
      </c>
      <c r="T48" s="14">
        <v>0</v>
      </c>
      <c r="U48" s="12">
        <f t="shared" si="3"/>
        <v>-1</v>
      </c>
      <c r="V48" s="14">
        <f t="shared" si="4"/>
        <v>-2190</v>
      </c>
      <c r="W48" s="13">
        <f t="shared" si="5"/>
        <v>-1</v>
      </c>
      <c r="Y48" s="16"/>
      <c r="Z48" s="15" t="s">
        <v>5</v>
      </c>
      <c r="AA48" s="12">
        <v>2</v>
      </c>
      <c r="AB48" s="14">
        <v>13880</v>
      </c>
      <c r="AC48" s="12">
        <f t="shared" si="6"/>
        <v>2</v>
      </c>
      <c r="AD48" s="14">
        <f t="shared" si="7"/>
        <v>13880</v>
      </c>
      <c r="AE48" s="13" t="e">
        <f t="shared" si="8"/>
        <v>#DIV/0!</v>
      </c>
      <c r="AG48" s="16"/>
      <c r="AH48" s="15" t="s">
        <v>5</v>
      </c>
      <c r="AI48" s="12">
        <v>1</v>
      </c>
      <c r="AJ48" s="14">
        <v>6390</v>
      </c>
      <c r="AK48" s="12">
        <f t="shared" si="9"/>
        <v>-1</v>
      </c>
      <c r="AL48" s="14">
        <f t="shared" si="10"/>
        <v>-7490</v>
      </c>
      <c r="AM48" s="13">
        <f t="shared" si="11"/>
        <v>-0.53962536023054752</v>
      </c>
      <c r="AO48" s="16"/>
      <c r="AP48" s="15" t="s">
        <v>5</v>
      </c>
      <c r="AQ48" s="12">
        <v>1</v>
      </c>
      <c r="AR48" s="14">
        <v>4890</v>
      </c>
      <c r="AS48" s="12">
        <f t="shared" si="12"/>
        <v>0</v>
      </c>
      <c r="AT48" s="14">
        <f t="shared" si="13"/>
        <v>-1500</v>
      </c>
      <c r="AU48" s="13">
        <f t="shared" si="14"/>
        <v>-0.23474178403755869</v>
      </c>
      <c r="AW48" s="16"/>
      <c r="AX48" s="15" t="s">
        <v>5</v>
      </c>
      <c r="AY48" s="12">
        <v>7</v>
      </c>
      <c r="AZ48" s="14">
        <v>40430</v>
      </c>
      <c r="BA48" s="12">
        <f t="shared" si="15"/>
        <v>6</v>
      </c>
      <c r="BB48" s="14">
        <f t="shared" si="16"/>
        <v>35540</v>
      </c>
      <c r="BC48" s="13">
        <f t="shared" si="17"/>
        <v>7.2678936605316977</v>
      </c>
      <c r="BE48" s="16"/>
      <c r="BF48" s="15" t="s">
        <v>5</v>
      </c>
      <c r="BG48" s="12">
        <v>1</v>
      </c>
      <c r="BH48" s="14">
        <v>4890</v>
      </c>
      <c r="BI48" s="12">
        <f t="shared" si="42"/>
        <v>-6</v>
      </c>
      <c r="BJ48" s="14">
        <f t="shared" si="43"/>
        <v>-35540</v>
      </c>
      <c r="BK48" s="13">
        <f t="shared" si="44"/>
        <v>-0.8790502102399208</v>
      </c>
      <c r="BM48" s="16"/>
      <c r="BN48" s="15" t="s">
        <v>5</v>
      </c>
      <c r="BO48" s="12">
        <v>3</v>
      </c>
      <c r="BP48" s="14">
        <v>17470</v>
      </c>
      <c r="BQ48" s="12">
        <f t="shared" si="21"/>
        <v>2</v>
      </c>
      <c r="BR48" s="14">
        <f t="shared" si="22"/>
        <v>12580</v>
      </c>
      <c r="BS48" s="13">
        <f t="shared" si="23"/>
        <v>2.572597137014315</v>
      </c>
      <c r="BU48" s="16"/>
      <c r="BV48" s="15" t="s">
        <v>5</v>
      </c>
      <c r="BW48" s="12">
        <v>5</v>
      </c>
      <c r="BX48" s="14">
        <v>26550</v>
      </c>
      <c r="BY48" s="12">
        <f t="shared" si="24"/>
        <v>2</v>
      </c>
      <c r="BZ48" s="14">
        <f t="shared" si="25"/>
        <v>9080</v>
      </c>
      <c r="CA48" s="13">
        <f t="shared" si="26"/>
        <v>0.51974813966800226</v>
      </c>
      <c r="CC48" s="16"/>
      <c r="CD48" s="15" t="s">
        <v>5</v>
      </c>
      <c r="CE48" s="12">
        <v>3</v>
      </c>
      <c r="CF48" s="14">
        <v>19170</v>
      </c>
      <c r="CG48" s="12">
        <f t="shared" si="27"/>
        <v>-2</v>
      </c>
      <c r="CH48" s="14">
        <f t="shared" si="28"/>
        <v>-7380</v>
      </c>
      <c r="CI48" s="13">
        <f t="shared" si="29"/>
        <v>-0.27796610169491526</v>
      </c>
      <c r="CK48" s="16"/>
      <c r="CL48" s="15" t="s">
        <v>5</v>
      </c>
      <c r="CM48" s="12">
        <v>1</v>
      </c>
      <c r="CN48" s="14">
        <v>4890</v>
      </c>
      <c r="CO48" s="12">
        <f t="shared" si="30"/>
        <v>-2</v>
      </c>
      <c r="CP48" s="14">
        <f t="shared" si="31"/>
        <v>-14280</v>
      </c>
      <c r="CQ48" s="13">
        <f t="shared" si="32"/>
        <v>-0.74491392801251954</v>
      </c>
      <c r="CS48" s="16"/>
      <c r="CT48" s="15" t="s">
        <v>5</v>
      </c>
      <c r="CU48" s="12">
        <v>1</v>
      </c>
      <c r="CV48" s="14">
        <v>4890</v>
      </c>
      <c r="CW48" s="12">
        <f t="shared" si="33"/>
        <v>0</v>
      </c>
      <c r="CX48" s="14">
        <f t="shared" si="34"/>
        <v>0</v>
      </c>
      <c r="CY48" s="13">
        <f t="shared" si="35"/>
        <v>0</v>
      </c>
    </row>
    <row r="49" spans="1:103" s="12" customFormat="1" ht="20" customHeight="1">
      <c r="A49" s="16"/>
      <c r="B49" s="15" t="s">
        <v>4</v>
      </c>
      <c r="C49" s="12">
        <v>3</v>
      </c>
      <c r="D49" s="14">
        <v>129480.95238092999</v>
      </c>
      <c r="F49" s="14"/>
      <c r="G49" s="13"/>
      <c r="I49" s="16"/>
      <c r="J49" s="15" t="s">
        <v>4</v>
      </c>
      <c r="K49" s="12">
        <v>1</v>
      </c>
      <c r="L49" s="14">
        <v>53290.476190469999</v>
      </c>
      <c r="M49" s="12">
        <f t="shared" si="51"/>
        <v>-2</v>
      </c>
      <c r="N49" s="14">
        <f t="shared" si="52"/>
        <v>-76190.476190459987</v>
      </c>
      <c r="O49" s="13">
        <f t="shared" si="53"/>
        <v>-0.58842999521898287</v>
      </c>
      <c r="Q49" s="16"/>
      <c r="R49" s="15" t="s">
        <v>4</v>
      </c>
      <c r="S49" s="12">
        <v>1</v>
      </c>
      <c r="T49" s="14">
        <v>38000</v>
      </c>
      <c r="U49" s="12">
        <f t="shared" si="3"/>
        <v>0</v>
      </c>
      <c r="V49" s="14">
        <f t="shared" si="4"/>
        <v>-15290.476190469999</v>
      </c>
      <c r="W49" s="13">
        <f t="shared" si="5"/>
        <v>-0.28692699490653856</v>
      </c>
      <c r="Y49" s="16"/>
      <c r="Z49" s="15" t="s">
        <v>4</v>
      </c>
      <c r="AA49" s="12">
        <v>3</v>
      </c>
      <c r="AB49" s="14">
        <v>98314.285714269994</v>
      </c>
      <c r="AC49" s="12">
        <f t="shared" si="6"/>
        <v>2</v>
      </c>
      <c r="AD49" s="14">
        <f t="shared" si="7"/>
        <v>60314.285714269994</v>
      </c>
      <c r="AE49" s="13">
        <f t="shared" si="8"/>
        <v>1.5872180451123683</v>
      </c>
      <c r="AG49" s="16"/>
      <c r="AH49" s="15" t="s">
        <v>4</v>
      </c>
      <c r="AI49" s="12">
        <v>4</v>
      </c>
      <c r="AJ49" s="14">
        <v>135333.33333331998</v>
      </c>
      <c r="AK49" s="12">
        <f t="shared" si="9"/>
        <v>1</v>
      </c>
      <c r="AL49" s="14">
        <f t="shared" si="10"/>
        <v>37019.04761904999</v>
      </c>
      <c r="AM49" s="13">
        <f t="shared" si="11"/>
        <v>0.37653782815081571</v>
      </c>
      <c r="AO49" s="16"/>
      <c r="AP49" s="15" t="s">
        <v>4</v>
      </c>
      <c r="AQ49" s="12">
        <v>1</v>
      </c>
      <c r="AR49" s="14">
        <v>44666.666666659999</v>
      </c>
      <c r="AS49" s="12">
        <f t="shared" si="12"/>
        <v>-3</v>
      </c>
      <c r="AT49" s="14">
        <f t="shared" si="13"/>
        <v>-90666.666666659992</v>
      </c>
      <c r="AU49" s="13">
        <f t="shared" si="14"/>
        <v>-0.66995073891627288</v>
      </c>
      <c r="AW49" s="16"/>
      <c r="AX49" s="15" t="s">
        <v>4</v>
      </c>
      <c r="AY49" s="12">
        <v>2</v>
      </c>
      <c r="AZ49" s="14">
        <v>63806.666666659999</v>
      </c>
      <c r="BA49" s="12">
        <f t="shared" si="15"/>
        <v>1</v>
      </c>
      <c r="BB49" s="14">
        <f t="shared" si="16"/>
        <v>19140</v>
      </c>
      <c r="BC49" s="13">
        <f t="shared" si="17"/>
        <v>0.42850746268663115</v>
      </c>
      <c r="BE49" s="16"/>
      <c r="BF49" s="15" t="s">
        <v>4</v>
      </c>
      <c r="BG49" s="12">
        <v>3</v>
      </c>
      <c r="BH49" s="14">
        <v>117333.33333333</v>
      </c>
      <c r="BI49" s="12">
        <f t="shared" si="42"/>
        <v>1</v>
      </c>
      <c r="BJ49" s="14">
        <f t="shared" si="43"/>
        <v>53526.666666669997</v>
      </c>
      <c r="BK49" s="13">
        <f t="shared" si="44"/>
        <v>0.83888830843186069</v>
      </c>
      <c r="BM49" s="16"/>
      <c r="BN49" s="15" t="s">
        <v>4</v>
      </c>
      <c r="BO49" s="12">
        <v>3</v>
      </c>
      <c r="BP49" s="14">
        <v>71619.047619040008</v>
      </c>
      <c r="BQ49" s="12">
        <f t="shared" si="21"/>
        <v>0</v>
      </c>
      <c r="BR49" s="14">
        <f t="shared" si="22"/>
        <v>-45714.285714289988</v>
      </c>
      <c r="BS49" s="13">
        <f t="shared" si="23"/>
        <v>-0.38961038961043709</v>
      </c>
      <c r="BU49" s="16"/>
      <c r="BV49" s="15" t="s">
        <v>4</v>
      </c>
      <c r="BW49" s="12">
        <v>1</v>
      </c>
      <c r="BX49" s="14">
        <v>35340</v>
      </c>
      <c r="BY49" s="12">
        <f t="shared" si="24"/>
        <v>-2</v>
      </c>
      <c r="BZ49" s="14">
        <f t="shared" si="25"/>
        <v>-36279.047619040008</v>
      </c>
      <c r="CA49" s="13">
        <f t="shared" si="26"/>
        <v>-0.50655585106377732</v>
      </c>
      <c r="CC49" s="16"/>
      <c r="CD49" s="15" t="s">
        <v>4</v>
      </c>
      <c r="CE49" s="12">
        <v>2</v>
      </c>
      <c r="CF49" s="14">
        <v>76000</v>
      </c>
      <c r="CG49" s="12">
        <f t="shared" si="27"/>
        <v>1</v>
      </c>
      <c r="CH49" s="14">
        <f t="shared" si="28"/>
        <v>40660</v>
      </c>
      <c r="CI49" s="13">
        <f t="shared" si="29"/>
        <v>1.1505376344086022</v>
      </c>
      <c r="CK49" s="16"/>
      <c r="CL49" s="15" t="s">
        <v>4</v>
      </c>
      <c r="CM49" s="12">
        <v>2</v>
      </c>
      <c r="CN49" s="14">
        <v>95047.619047610002</v>
      </c>
      <c r="CO49" s="12">
        <f t="shared" si="30"/>
        <v>0</v>
      </c>
      <c r="CP49" s="14">
        <f t="shared" si="31"/>
        <v>19047.619047610002</v>
      </c>
      <c r="CQ49" s="13">
        <f t="shared" si="32"/>
        <v>0.25062656641592107</v>
      </c>
      <c r="CS49" s="16"/>
      <c r="CT49" s="15" t="s">
        <v>4</v>
      </c>
      <c r="CU49" s="12">
        <v>1</v>
      </c>
      <c r="CV49" s="14">
        <v>28000</v>
      </c>
      <c r="CW49" s="12">
        <f t="shared" si="33"/>
        <v>-1</v>
      </c>
      <c r="CX49" s="14">
        <f t="shared" si="34"/>
        <v>-67047.619047610002</v>
      </c>
      <c r="CY49" s="13">
        <f t="shared" si="35"/>
        <v>-0.70541082164325852</v>
      </c>
    </row>
    <row r="50" spans="1:103" s="12" customFormat="1" ht="20" customHeight="1">
      <c r="A50" s="16"/>
      <c r="B50" s="15" t="s">
        <v>3</v>
      </c>
      <c r="C50" s="12">
        <v>10</v>
      </c>
      <c r="D50" s="14">
        <v>184666.66666664</v>
      </c>
      <c r="F50" s="14"/>
      <c r="G50" s="13"/>
      <c r="I50" s="16"/>
      <c r="J50" s="15" t="s">
        <v>3</v>
      </c>
      <c r="K50" s="12">
        <v>23</v>
      </c>
      <c r="L50" s="14">
        <v>390285.71428562998</v>
      </c>
      <c r="M50" s="12">
        <f t="shared" si="51"/>
        <v>13</v>
      </c>
      <c r="N50" s="14">
        <f t="shared" si="52"/>
        <v>205619.04761898998</v>
      </c>
      <c r="O50" s="13">
        <f t="shared" si="53"/>
        <v>1.1134605466733918</v>
      </c>
      <c r="Q50" s="16"/>
      <c r="R50" s="15" t="s">
        <v>3</v>
      </c>
      <c r="S50" s="12">
        <v>7</v>
      </c>
      <c r="T50" s="14">
        <v>101238.09523808</v>
      </c>
      <c r="U50" s="12">
        <f t="shared" si="3"/>
        <v>-16</v>
      </c>
      <c r="V50" s="14">
        <f t="shared" si="4"/>
        <v>-289047.61904754996</v>
      </c>
      <c r="W50" s="13">
        <f t="shared" si="5"/>
        <v>-0.74060517325522945</v>
      </c>
      <c r="Y50" s="16"/>
      <c r="Z50" s="15" t="s">
        <v>3</v>
      </c>
      <c r="AA50" s="12">
        <v>6</v>
      </c>
      <c r="AB50" s="14">
        <v>122857.14285712001</v>
      </c>
      <c r="AC50" s="12">
        <f t="shared" si="6"/>
        <v>-1</v>
      </c>
      <c r="AD50" s="14">
        <f t="shared" si="7"/>
        <v>21619.047619040008</v>
      </c>
      <c r="AE50" s="13">
        <f t="shared" si="8"/>
        <v>0.21354656632168792</v>
      </c>
      <c r="AG50" s="16"/>
      <c r="AH50" s="15" t="s">
        <v>3</v>
      </c>
      <c r="AI50" s="12">
        <v>9</v>
      </c>
      <c r="AJ50" s="14">
        <v>144380.95238093002</v>
      </c>
      <c r="AK50" s="12">
        <f t="shared" si="9"/>
        <v>3</v>
      </c>
      <c r="AL50" s="14">
        <f t="shared" si="10"/>
        <v>21523.809523810007</v>
      </c>
      <c r="AM50" s="13">
        <f t="shared" si="11"/>
        <v>0.17519379844964891</v>
      </c>
      <c r="AO50" s="16"/>
      <c r="AP50" s="15" t="s">
        <v>3</v>
      </c>
      <c r="AQ50" s="12">
        <v>15</v>
      </c>
      <c r="AR50" s="14">
        <v>246476.19047615002</v>
      </c>
      <c r="AS50" s="12">
        <f t="shared" si="12"/>
        <v>6</v>
      </c>
      <c r="AT50" s="14">
        <f t="shared" si="13"/>
        <v>102095.23809522</v>
      </c>
      <c r="AU50" s="13">
        <f t="shared" si="14"/>
        <v>0.70712401055407392</v>
      </c>
      <c r="AW50" s="16"/>
      <c r="AX50" s="15" t="s">
        <v>3</v>
      </c>
      <c r="AY50" s="12">
        <v>11</v>
      </c>
      <c r="AZ50" s="14">
        <v>183714.28571425003</v>
      </c>
      <c r="BA50" s="12">
        <f t="shared" si="15"/>
        <v>-4</v>
      </c>
      <c r="BB50" s="14">
        <f t="shared" si="16"/>
        <v>-62761.90476189999</v>
      </c>
      <c r="BC50" s="13">
        <f t="shared" si="17"/>
        <v>-0.25463678516230992</v>
      </c>
      <c r="BE50" s="16"/>
      <c r="BF50" s="15" t="s">
        <v>3</v>
      </c>
      <c r="BG50" s="12">
        <v>9</v>
      </c>
      <c r="BH50" s="14">
        <v>143333.33333331</v>
      </c>
      <c r="BI50" s="12">
        <f t="shared" si="42"/>
        <v>-2</v>
      </c>
      <c r="BJ50" s="14">
        <f t="shared" si="43"/>
        <v>-40380.952380940027</v>
      </c>
      <c r="BK50" s="13">
        <f t="shared" si="44"/>
        <v>-0.21980300673921857</v>
      </c>
      <c r="BM50" s="16"/>
      <c r="BN50" s="15" t="s">
        <v>3</v>
      </c>
      <c r="BO50" s="12">
        <v>6</v>
      </c>
      <c r="BP50" s="14">
        <v>90285.7142857</v>
      </c>
      <c r="BQ50" s="12">
        <f t="shared" si="21"/>
        <v>-3</v>
      </c>
      <c r="BR50" s="14">
        <f t="shared" si="22"/>
        <v>-53047.619047610002</v>
      </c>
      <c r="BS50" s="13">
        <f t="shared" si="23"/>
        <v>-0.37009966777408354</v>
      </c>
      <c r="BU50" s="16"/>
      <c r="BV50" s="15" t="s">
        <v>3</v>
      </c>
      <c r="BW50" s="12">
        <v>13</v>
      </c>
      <c r="BX50" s="14">
        <v>253142.85714282002</v>
      </c>
      <c r="BY50" s="12">
        <f t="shared" si="24"/>
        <v>7</v>
      </c>
      <c r="BZ50" s="14">
        <f t="shared" si="25"/>
        <v>162857.14285712002</v>
      </c>
      <c r="CA50" s="13">
        <f t="shared" si="26"/>
        <v>1.8037974683544629</v>
      </c>
      <c r="CC50" s="16"/>
      <c r="CD50" s="15" t="s">
        <v>3</v>
      </c>
      <c r="CE50" s="12">
        <v>15</v>
      </c>
      <c r="CF50" s="14">
        <v>309904.76190473</v>
      </c>
      <c r="CG50" s="12">
        <f t="shared" si="27"/>
        <v>2</v>
      </c>
      <c r="CH50" s="14">
        <f t="shared" si="28"/>
        <v>56761.904761909973</v>
      </c>
      <c r="CI50" s="13">
        <f t="shared" si="29"/>
        <v>0.22422874341615578</v>
      </c>
      <c r="CK50" s="16"/>
      <c r="CL50" s="15" t="s">
        <v>3</v>
      </c>
      <c r="CM50" s="12">
        <v>8</v>
      </c>
      <c r="CN50" s="14">
        <v>129999.99999999002</v>
      </c>
      <c r="CO50" s="12">
        <f t="shared" si="30"/>
        <v>-7</v>
      </c>
      <c r="CP50" s="14">
        <f t="shared" si="31"/>
        <v>-179904.76190473998</v>
      </c>
      <c r="CQ50" s="13">
        <f t="shared" si="32"/>
        <v>-0.58051628764596319</v>
      </c>
      <c r="CS50" s="16"/>
      <c r="CT50" s="15" t="s">
        <v>3</v>
      </c>
      <c r="CU50" s="12">
        <v>13</v>
      </c>
      <c r="CV50" s="14">
        <v>233809.52380948997</v>
      </c>
      <c r="CW50" s="12">
        <f t="shared" si="33"/>
        <v>5</v>
      </c>
      <c r="CX50" s="14">
        <f t="shared" si="34"/>
        <v>103809.52380949995</v>
      </c>
      <c r="CY50" s="13">
        <f t="shared" si="35"/>
        <v>0.79853479853467635</v>
      </c>
    </row>
    <row r="51" spans="1:103" s="12" customFormat="1" ht="20" customHeight="1">
      <c r="A51" s="16"/>
      <c r="B51" s="15" t="s">
        <v>2</v>
      </c>
      <c r="C51" s="12">
        <v>34</v>
      </c>
      <c r="D51" s="14">
        <v>1497714.28571423</v>
      </c>
      <c r="F51" s="14"/>
      <c r="G51" s="13"/>
      <c r="I51" s="16"/>
      <c r="J51" s="15" t="s">
        <v>2</v>
      </c>
      <c r="K51" s="12">
        <v>28</v>
      </c>
      <c r="L51" s="14">
        <v>1090714.2857142501</v>
      </c>
      <c r="M51" s="12">
        <f t="shared" si="51"/>
        <v>-6</v>
      </c>
      <c r="N51" s="14">
        <f t="shared" si="52"/>
        <v>-406999.99999997998</v>
      </c>
      <c r="O51" s="13">
        <f t="shared" si="53"/>
        <v>-0.27174742464707802</v>
      </c>
      <c r="Q51" s="16"/>
      <c r="R51" s="15" t="s">
        <v>2</v>
      </c>
      <c r="S51" s="12">
        <v>60</v>
      </c>
      <c r="T51" s="14">
        <v>2371240.95238089</v>
      </c>
      <c r="U51" s="12">
        <f t="shared" si="3"/>
        <v>32</v>
      </c>
      <c r="V51" s="14">
        <f t="shared" si="4"/>
        <v>1280526.66666664</v>
      </c>
      <c r="W51" s="13">
        <f t="shared" si="5"/>
        <v>1.1740257585680121</v>
      </c>
      <c r="Y51" s="16"/>
      <c r="Z51" s="15" t="s">
        <v>2</v>
      </c>
      <c r="AA51" s="12">
        <v>105</v>
      </c>
      <c r="AB51" s="14">
        <v>3949999.9999999702</v>
      </c>
      <c r="AC51" s="12">
        <f t="shared" si="6"/>
        <v>45</v>
      </c>
      <c r="AD51" s="14">
        <f t="shared" si="7"/>
        <v>1578759.0476190802</v>
      </c>
      <c r="AE51" s="13">
        <f t="shared" si="8"/>
        <v>0.66579444237157626</v>
      </c>
      <c r="AG51" s="16"/>
      <c r="AH51" s="15" t="s">
        <v>2</v>
      </c>
      <c r="AI51" s="12">
        <v>79</v>
      </c>
      <c r="AJ51" s="14">
        <v>3042952.3809523098</v>
      </c>
      <c r="AK51" s="12">
        <f t="shared" si="9"/>
        <v>-26</v>
      </c>
      <c r="AL51" s="14">
        <f t="shared" si="10"/>
        <v>-907047.61904766038</v>
      </c>
      <c r="AM51" s="13">
        <f t="shared" si="11"/>
        <v>-0.22963230861966258</v>
      </c>
      <c r="AO51" s="16"/>
      <c r="AP51" s="15" t="s">
        <v>2</v>
      </c>
      <c r="AQ51" s="12">
        <v>69</v>
      </c>
      <c r="AR51" s="14">
        <v>2621047.61904757</v>
      </c>
      <c r="AS51" s="12">
        <f t="shared" si="12"/>
        <v>-10</v>
      </c>
      <c r="AT51" s="14">
        <f t="shared" si="13"/>
        <v>-421904.76190473977</v>
      </c>
      <c r="AU51" s="13">
        <f t="shared" si="14"/>
        <v>-0.13864980751775755</v>
      </c>
      <c r="AW51" s="16"/>
      <c r="AX51" s="15" t="s">
        <v>2</v>
      </c>
      <c r="AY51" s="12">
        <v>57</v>
      </c>
      <c r="AZ51" s="14">
        <v>2105047.61904757</v>
      </c>
      <c r="BA51" s="12">
        <f t="shared" si="15"/>
        <v>-12</v>
      </c>
      <c r="BB51" s="14">
        <f t="shared" si="16"/>
        <v>-516000</v>
      </c>
      <c r="BC51" s="13">
        <f t="shared" si="17"/>
        <v>-0.19686784637186516</v>
      </c>
      <c r="BE51" s="16"/>
      <c r="BF51" s="15" t="s">
        <v>2</v>
      </c>
      <c r="BG51" s="12">
        <v>62</v>
      </c>
      <c r="BH51" s="14">
        <v>2179809.5238094702</v>
      </c>
      <c r="BI51" s="12">
        <f t="shared" si="42"/>
        <v>5</v>
      </c>
      <c r="BJ51" s="14">
        <f t="shared" si="43"/>
        <v>74761.904761900194</v>
      </c>
      <c r="BK51" s="13">
        <f t="shared" si="44"/>
        <v>3.5515540876802712E-2</v>
      </c>
      <c r="BM51" s="16"/>
      <c r="BN51" s="15" t="s">
        <v>2</v>
      </c>
      <c r="BO51" s="12">
        <v>41</v>
      </c>
      <c r="BP51" s="14">
        <v>1440857.1428571099</v>
      </c>
      <c r="BQ51" s="12">
        <f t="shared" si="21"/>
        <v>-21</v>
      </c>
      <c r="BR51" s="14">
        <f t="shared" si="22"/>
        <v>-738952.38095236034</v>
      </c>
      <c r="BS51" s="13">
        <f t="shared" si="23"/>
        <v>-0.33899860188745079</v>
      </c>
      <c r="BU51" s="16"/>
      <c r="BV51" s="15" t="s">
        <v>2</v>
      </c>
      <c r="BW51" s="12">
        <v>34</v>
      </c>
      <c r="BX51" s="14">
        <v>1291999.9999999399</v>
      </c>
      <c r="BY51" s="12">
        <f t="shared" si="24"/>
        <v>-7</v>
      </c>
      <c r="BZ51" s="14">
        <f t="shared" si="25"/>
        <v>-148857.14285716997</v>
      </c>
      <c r="CA51" s="13">
        <f t="shared" si="26"/>
        <v>-0.10331152092010842</v>
      </c>
      <c r="CC51" s="16"/>
      <c r="CD51" s="15" t="s">
        <v>2</v>
      </c>
      <c r="CE51" s="12">
        <v>46</v>
      </c>
      <c r="CF51" s="14">
        <v>1767047.6190475801</v>
      </c>
      <c r="CG51" s="12">
        <f t="shared" si="27"/>
        <v>12</v>
      </c>
      <c r="CH51" s="14">
        <f t="shared" si="28"/>
        <v>475047.61904764012</v>
      </c>
      <c r="CI51" s="13">
        <f t="shared" si="29"/>
        <v>0.36768391567156516</v>
      </c>
      <c r="CK51" s="16"/>
      <c r="CL51" s="15" t="s">
        <v>2</v>
      </c>
      <c r="CM51" s="12">
        <v>36</v>
      </c>
      <c r="CN51" s="14">
        <v>1321333.3333332902</v>
      </c>
      <c r="CO51" s="12">
        <f t="shared" si="30"/>
        <v>-10</v>
      </c>
      <c r="CP51" s="14">
        <f t="shared" si="31"/>
        <v>-445714.28571428987</v>
      </c>
      <c r="CQ51" s="13">
        <f t="shared" si="32"/>
        <v>-0.25223671445511192</v>
      </c>
      <c r="CS51" s="16"/>
      <c r="CT51" s="15" t="s">
        <v>2</v>
      </c>
      <c r="CU51" s="12">
        <v>51</v>
      </c>
      <c r="CV51" s="14">
        <v>1852761.9047618699</v>
      </c>
      <c r="CW51" s="12">
        <f t="shared" si="33"/>
        <v>15</v>
      </c>
      <c r="CX51" s="14">
        <f t="shared" si="34"/>
        <v>531428.57142857974</v>
      </c>
      <c r="CY51" s="13">
        <f t="shared" si="35"/>
        <v>0.4021911489116527</v>
      </c>
    </row>
    <row r="52" spans="1:103" s="1" customFormat="1" ht="20" customHeight="1">
      <c r="A52" s="11" t="s">
        <v>11</v>
      </c>
      <c r="B52" s="11"/>
      <c r="C52" s="10">
        <v>267</v>
      </c>
      <c r="D52" s="9">
        <v>2259029.9999992601</v>
      </c>
      <c r="E52" s="29"/>
      <c r="F52" s="30"/>
      <c r="G52" s="31"/>
      <c r="I52" s="11" t="s">
        <v>11</v>
      </c>
      <c r="J52" s="11"/>
      <c r="K52" s="10">
        <v>342</v>
      </c>
      <c r="L52" s="9">
        <v>2153138.5714277201</v>
      </c>
      <c r="M52" s="10">
        <f t="shared" ref="M52:M65" si="54">K52-C52</f>
        <v>75</v>
      </c>
      <c r="N52" s="9">
        <f t="shared" ref="N52:N65" si="55">L52-D52</f>
        <v>-105891.42857153993</v>
      </c>
      <c r="O52" s="8">
        <f t="shared" ref="O52:O65" si="56">(L52-D52)/D52</f>
        <v>-4.6874733213624703E-2</v>
      </c>
      <c r="Q52" s="11" t="s">
        <v>11</v>
      </c>
      <c r="R52" s="11"/>
      <c r="S52" s="10">
        <v>274</v>
      </c>
      <c r="T52" s="9">
        <v>2908453.3333328199</v>
      </c>
      <c r="U52" s="10">
        <f t="shared" si="3"/>
        <v>-68</v>
      </c>
      <c r="V52" s="9">
        <f t="shared" si="4"/>
        <v>755314.76190509973</v>
      </c>
      <c r="W52" s="8">
        <f t="shared" si="5"/>
        <v>0.3507970977475266</v>
      </c>
      <c r="Y52" s="11" t="s">
        <v>11</v>
      </c>
      <c r="Z52" s="11"/>
      <c r="AA52" s="10">
        <v>410</v>
      </c>
      <c r="AB52" s="9">
        <v>4568835.2380944304</v>
      </c>
      <c r="AC52" s="10">
        <f t="shared" si="6"/>
        <v>136</v>
      </c>
      <c r="AD52" s="9">
        <f t="shared" si="7"/>
        <v>1660381.9047616106</v>
      </c>
      <c r="AE52" s="8">
        <f t="shared" si="8"/>
        <v>0.57088139793495185</v>
      </c>
      <c r="AG52" s="11" t="s">
        <v>11</v>
      </c>
      <c r="AH52" s="11"/>
      <c r="AI52" s="10">
        <v>336</v>
      </c>
      <c r="AJ52" s="9">
        <v>3677138.5714278999</v>
      </c>
      <c r="AK52" s="10">
        <f t="shared" si="9"/>
        <v>-74</v>
      </c>
      <c r="AL52" s="9">
        <f t="shared" si="10"/>
        <v>-891696.66666653054</v>
      </c>
      <c r="AM52" s="8">
        <f t="shared" si="11"/>
        <v>-0.19516936378700303</v>
      </c>
      <c r="AO52" s="11" t="s">
        <v>11</v>
      </c>
      <c r="AP52" s="11"/>
      <c r="AQ52" s="10">
        <v>362</v>
      </c>
      <c r="AR52" s="9">
        <v>3425735.7142848903</v>
      </c>
      <c r="AS52" s="10">
        <f t="shared" si="12"/>
        <v>26</v>
      </c>
      <c r="AT52" s="9">
        <f t="shared" si="13"/>
        <v>-251402.85714300955</v>
      </c>
      <c r="AU52" s="8">
        <f t="shared" si="14"/>
        <v>-6.8369155053459196E-2</v>
      </c>
      <c r="AW52" s="11" t="s">
        <v>11</v>
      </c>
      <c r="AX52" s="11"/>
      <c r="AY52" s="10">
        <v>343</v>
      </c>
      <c r="AZ52" s="9">
        <v>2785117.6190468101</v>
      </c>
      <c r="BA52" s="10">
        <f t="shared" si="15"/>
        <v>-19</v>
      </c>
      <c r="BB52" s="9">
        <f t="shared" si="16"/>
        <v>-640618.09523808025</v>
      </c>
      <c r="BC52" s="8">
        <f t="shared" si="17"/>
        <v>-0.18700161035972004</v>
      </c>
      <c r="BE52" s="11" t="s">
        <v>11</v>
      </c>
      <c r="BF52" s="11"/>
      <c r="BG52" s="10">
        <v>349</v>
      </c>
      <c r="BH52" s="9">
        <v>2910655.7142849704</v>
      </c>
      <c r="BI52" s="29">
        <f t="shared" si="42"/>
        <v>6</v>
      </c>
      <c r="BJ52" s="30">
        <f t="shared" si="43"/>
        <v>125538.09523816034</v>
      </c>
      <c r="BK52" s="31">
        <f t="shared" si="44"/>
        <v>4.5074611707467134E-2</v>
      </c>
      <c r="BM52" s="11" t="s">
        <v>11</v>
      </c>
      <c r="BN52" s="11"/>
      <c r="BO52" s="10">
        <v>333</v>
      </c>
      <c r="BP52" s="9">
        <v>2331882.38095167</v>
      </c>
      <c r="BQ52" s="29">
        <f t="shared" si="21"/>
        <v>-16</v>
      </c>
      <c r="BR52" s="30">
        <f t="shared" si="22"/>
        <v>-578773.33333330043</v>
      </c>
      <c r="BS52" s="31">
        <f t="shared" si="23"/>
        <v>-0.19884637351397688</v>
      </c>
      <c r="BU52" s="11" t="s">
        <v>11</v>
      </c>
      <c r="BV52" s="11"/>
      <c r="BW52" s="10">
        <v>307</v>
      </c>
      <c r="BX52" s="9">
        <v>2117328.0952374097</v>
      </c>
      <c r="BY52" s="29">
        <f t="shared" si="24"/>
        <v>-26</v>
      </c>
      <c r="BZ52" s="30">
        <f t="shared" si="25"/>
        <v>-214554.2857142603</v>
      </c>
      <c r="CA52" s="31">
        <f t="shared" si="26"/>
        <v>-9.2009051342760287E-2</v>
      </c>
      <c r="CC52" s="11" t="s">
        <v>11</v>
      </c>
      <c r="CD52" s="11"/>
      <c r="CE52" s="10">
        <v>355</v>
      </c>
      <c r="CF52" s="9">
        <v>2660999.5238088202</v>
      </c>
      <c r="CG52" s="29">
        <f t="shared" si="27"/>
        <v>48</v>
      </c>
      <c r="CH52" s="30">
        <f t="shared" si="28"/>
        <v>543671.42857141048</v>
      </c>
      <c r="CI52" s="31">
        <f t="shared" si="29"/>
        <v>0.25677240565329118</v>
      </c>
      <c r="CK52" s="11" t="s">
        <v>11</v>
      </c>
      <c r="CL52" s="11"/>
      <c r="CM52" s="10">
        <v>258</v>
      </c>
      <c r="CN52" s="9">
        <v>2087471.9047613302</v>
      </c>
      <c r="CO52" s="29">
        <f t="shared" si="30"/>
        <v>-97</v>
      </c>
      <c r="CP52" s="30">
        <f t="shared" si="31"/>
        <v>-573527.61904748995</v>
      </c>
      <c r="CQ52" s="31">
        <f t="shared" si="32"/>
        <v>-0.21553089879045581</v>
      </c>
      <c r="CS52" s="11" t="s">
        <v>11</v>
      </c>
      <c r="CT52" s="11"/>
      <c r="CU52" s="10">
        <v>314</v>
      </c>
      <c r="CV52" s="9">
        <v>2655523.3333327197</v>
      </c>
      <c r="CW52" s="29">
        <f t="shared" si="33"/>
        <v>56</v>
      </c>
      <c r="CX52" s="30">
        <f t="shared" si="34"/>
        <v>568051.42857138952</v>
      </c>
      <c r="CY52" s="31">
        <f t="shared" si="35"/>
        <v>0.27212410728772768</v>
      </c>
    </row>
    <row r="53" spans="1:103" s="1" customFormat="1" ht="20" customHeight="1">
      <c r="A53" s="16">
        <v>84</v>
      </c>
      <c r="B53" s="35" t="s">
        <v>32</v>
      </c>
      <c r="D53" s="38"/>
      <c r="E53" s="12"/>
      <c r="F53" s="14"/>
      <c r="G53" s="39"/>
      <c r="I53" s="16">
        <v>84</v>
      </c>
      <c r="J53" s="35" t="s">
        <v>32</v>
      </c>
      <c r="L53" s="38"/>
      <c r="M53" s="12">
        <f t="shared" si="54"/>
        <v>0</v>
      </c>
      <c r="N53" s="14">
        <f t="shared" si="55"/>
        <v>0</v>
      </c>
      <c r="O53" s="13" t="e">
        <f t="shared" si="56"/>
        <v>#DIV/0!</v>
      </c>
      <c r="Q53" s="16">
        <v>84</v>
      </c>
      <c r="R53" s="35" t="s">
        <v>32</v>
      </c>
      <c r="T53" s="38"/>
      <c r="U53" s="12">
        <f t="shared" si="3"/>
        <v>0</v>
      </c>
      <c r="V53" s="14">
        <f t="shared" si="4"/>
        <v>0</v>
      </c>
      <c r="W53" s="13" t="e">
        <f t="shared" si="5"/>
        <v>#DIV/0!</v>
      </c>
      <c r="Y53" s="16">
        <v>84</v>
      </c>
      <c r="Z53" s="35" t="s">
        <v>32</v>
      </c>
      <c r="AB53" s="38"/>
      <c r="AC53" s="12">
        <f t="shared" si="6"/>
        <v>0</v>
      </c>
      <c r="AD53" s="14">
        <f t="shared" si="7"/>
        <v>0</v>
      </c>
      <c r="AE53" s="13" t="e">
        <f t="shared" si="8"/>
        <v>#DIV/0!</v>
      </c>
      <c r="AG53" s="16">
        <v>84</v>
      </c>
      <c r="AH53" s="35" t="s">
        <v>32</v>
      </c>
      <c r="AJ53" s="38"/>
      <c r="AK53" s="12">
        <f t="shared" si="9"/>
        <v>0</v>
      </c>
      <c r="AL53" s="14">
        <f t="shared" si="10"/>
        <v>0</v>
      </c>
      <c r="AM53" s="13" t="e">
        <f t="shared" si="11"/>
        <v>#DIV/0!</v>
      </c>
      <c r="AO53" s="16">
        <v>84</v>
      </c>
      <c r="AP53" s="35" t="s">
        <v>32</v>
      </c>
      <c r="AR53" s="38"/>
      <c r="AS53" s="12">
        <f t="shared" si="12"/>
        <v>0</v>
      </c>
      <c r="AT53" s="14">
        <f t="shared" si="13"/>
        <v>0</v>
      </c>
      <c r="AU53" s="13" t="e">
        <f t="shared" si="14"/>
        <v>#DIV/0!</v>
      </c>
      <c r="AW53" s="16">
        <v>84</v>
      </c>
      <c r="AX53" s="35" t="s">
        <v>32</v>
      </c>
      <c r="AZ53" s="38"/>
      <c r="BA53" s="12">
        <f t="shared" si="15"/>
        <v>0</v>
      </c>
      <c r="BB53" s="14">
        <f t="shared" si="16"/>
        <v>0</v>
      </c>
      <c r="BC53" s="13" t="e">
        <f t="shared" si="17"/>
        <v>#DIV/0!</v>
      </c>
      <c r="BE53" s="16">
        <v>84</v>
      </c>
      <c r="BF53" s="35" t="s">
        <v>32</v>
      </c>
      <c r="BG53" s="17"/>
      <c r="BH53" s="36"/>
      <c r="BI53" s="12">
        <f t="shared" si="42"/>
        <v>0</v>
      </c>
      <c r="BJ53" s="14">
        <f t="shared" si="43"/>
        <v>0</v>
      </c>
      <c r="BK53" s="13" t="e">
        <f t="shared" si="44"/>
        <v>#DIV/0!</v>
      </c>
      <c r="BM53" s="16">
        <v>84</v>
      </c>
      <c r="BN53" s="35" t="s">
        <v>32</v>
      </c>
      <c r="BO53" s="17"/>
      <c r="BP53" s="36"/>
      <c r="BQ53" s="12">
        <f t="shared" si="21"/>
        <v>0</v>
      </c>
      <c r="BR53" s="14">
        <f t="shared" si="22"/>
        <v>0</v>
      </c>
      <c r="BS53" s="13" t="e">
        <f t="shared" si="23"/>
        <v>#DIV/0!</v>
      </c>
      <c r="BU53" s="16">
        <v>84</v>
      </c>
      <c r="BV53" s="35" t="s">
        <v>32</v>
      </c>
      <c r="BW53" s="17"/>
      <c r="BX53" s="36"/>
      <c r="BY53" s="12">
        <f t="shared" si="24"/>
        <v>0</v>
      </c>
      <c r="BZ53" s="14">
        <f t="shared" si="25"/>
        <v>0</v>
      </c>
      <c r="CA53" s="13" t="e">
        <f t="shared" si="26"/>
        <v>#DIV/0!</v>
      </c>
      <c r="CC53" s="16">
        <v>84</v>
      </c>
      <c r="CD53" s="35" t="s">
        <v>32</v>
      </c>
      <c r="CE53" s="17"/>
      <c r="CF53" s="36"/>
      <c r="CG53" s="12">
        <f t="shared" si="27"/>
        <v>0</v>
      </c>
      <c r="CH53" s="14">
        <f t="shared" si="28"/>
        <v>0</v>
      </c>
      <c r="CI53" s="13" t="e">
        <f t="shared" si="29"/>
        <v>#DIV/0!</v>
      </c>
      <c r="CK53" s="16">
        <v>84</v>
      </c>
      <c r="CL53" s="35" t="s">
        <v>32</v>
      </c>
      <c r="CM53" s="17">
        <v>0</v>
      </c>
      <c r="CN53" s="36"/>
      <c r="CO53" s="12">
        <f t="shared" si="30"/>
        <v>0</v>
      </c>
      <c r="CP53" s="14">
        <f t="shared" si="31"/>
        <v>0</v>
      </c>
      <c r="CQ53" s="13" t="e">
        <f t="shared" si="32"/>
        <v>#DIV/0!</v>
      </c>
      <c r="CS53" s="16">
        <v>84</v>
      </c>
      <c r="CT53" s="35" t="s">
        <v>32</v>
      </c>
      <c r="CU53" s="17">
        <v>0</v>
      </c>
      <c r="CV53" s="36"/>
      <c r="CW53" s="12">
        <f t="shared" si="33"/>
        <v>0</v>
      </c>
      <c r="CX53" s="14">
        <f t="shared" si="34"/>
        <v>0</v>
      </c>
      <c r="CY53" s="13" t="e">
        <f t="shared" si="35"/>
        <v>#DIV/0!</v>
      </c>
    </row>
    <row r="54" spans="1:103" s="1" customFormat="1" ht="20" customHeight="1">
      <c r="A54" s="16"/>
      <c r="B54" s="35" t="s">
        <v>33</v>
      </c>
      <c r="C54" s="1">
        <v>5</v>
      </c>
      <c r="D54" s="38"/>
      <c r="E54" s="12"/>
      <c r="F54" s="14"/>
      <c r="G54" s="39"/>
      <c r="I54" s="16"/>
      <c r="J54" s="35" t="s">
        <v>33</v>
      </c>
      <c r="K54" s="1">
        <v>1</v>
      </c>
      <c r="L54" s="38"/>
      <c r="M54" s="12">
        <f t="shared" si="54"/>
        <v>-4</v>
      </c>
      <c r="N54" s="14">
        <f t="shared" si="55"/>
        <v>0</v>
      </c>
      <c r="O54" s="13" t="e">
        <f t="shared" si="56"/>
        <v>#DIV/0!</v>
      </c>
      <c r="Q54" s="16"/>
      <c r="R54" s="35" t="s">
        <v>33</v>
      </c>
      <c r="S54" s="1">
        <v>4</v>
      </c>
      <c r="T54" s="38"/>
      <c r="U54" s="12">
        <f t="shared" si="3"/>
        <v>3</v>
      </c>
      <c r="V54" s="14">
        <f t="shared" si="4"/>
        <v>0</v>
      </c>
      <c r="W54" s="13" t="e">
        <f t="shared" si="5"/>
        <v>#DIV/0!</v>
      </c>
      <c r="Y54" s="16"/>
      <c r="Z54" s="35" t="s">
        <v>33</v>
      </c>
      <c r="AA54" s="1">
        <v>5</v>
      </c>
      <c r="AB54" s="38"/>
      <c r="AC54" s="12">
        <f t="shared" si="6"/>
        <v>1</v>
      </c>
      <c r="AD54" s="14">
        <f t="shared" si="7"/>
        <v>0</v>
      </c>
      <c r="AE54" s="13" t="e">
        <f t="shared" si="8"/>
        <v>#DIV/0!</v>
      </c>
      <c r="AG54" s="16"/>
      <c r="AH54" s="35" t="s">
        <v>33</v>
      </c>
      <c r="AI54" s="1">
        <v>5</v>
      </c>
      <c r="AJ54" s="38"/>
      <c r="AK54" s="12">
        <f t="shared" si="9"/>
        <v>0</v>
      </c>
      <c r="AL54" s="14">
        <f t="shared" si="10"/>
        <v>0</v>
      </c>
      <c r="AM54" s="13" t="e">
        <f t="shared" si="11"/>
        <v>#DIV/0!</v>
      </c>
      <c r="AO54" s="16"/>
      <c r="AP54" s="35" t="s">
        <v>33</v>
      </c>
      <c r="AQ54" s="1">
        <v>8</v>
      </c>
      <c r="AR54" s="38"/>
      <c r="AS54" s="12">
        <f t="shared" si="12"/>
        <v>3</v>
      </c>
      <c r="AT54" s="14">
        <f t="shared" si="13"/>
        <v>0</v>
      </c>
      <c r="AU54" s="13" t="e">
        <f t="shared" si="14"/>
        <v>#DIV/0!</v>
      </c>
      <c r="AW54" s="16"/>
      <c r="AX54" s="35" t="s">
        <v>33</v>
      </c>
      <c r="AY54" s="1">
        <v>7</v>
      </c>
      <c r="AZ54" s="38"/>
      <c r="BA54" s="12">
        <f t="shared" si="15"/>
        <v>-1</v>
      </c>
      <c r="BB54" s="14">
        <f t="shared" si="16"/>
        <v>0</v>
      </c>
      <c r="BC54" s="13" t="e">
        <f t="shared" si="17"/>
        <v>#DIV/0!</v>
      </c>
      <c r="BE54" s="16"/>
      <c r="BF54" s="35" t="s">
        <v>33</v>
      </c>
      <c r="BG54" s="17">
        <v>5</v>
      </c>
      <c r="BH54" s="36"/>
      <c r="BI54" s="12">
        <f t="shared" si="42"/>
        <v>-2</v>
      </c>
      <c r="BJ54" s="14">
        <f t="shared" si="43"/>
        <v>0</v>
      </c>
      <c r="BK54" s="13" t="e">
        <f t="shared" si="44"/>
        <v>#DIV/0!</v>
      </c>
      <c r="BM54" s="16"/>
      <c r="BN54" s="35" t="s">
        <v>33</v>
      </c>
      <c r="BO54" s="17">
        <v>8</v>
      </c>
      <c r="BP54" s="36"/>
      <c r="BQ54" s="12">
        <f t="shared" si="21"/>
        <v>3</v>
      </c>
      <c r="BR54" s="14">
        <f t="shared" si="22"/>
        <v>0</v>
      </c>
      <c r="BS54" s="13" t="e">
        <f t="shared" si="23"/>
        <v>#DIV/0!</v>
      </c>
      <c r="BU54" s="16"/>
      <c r="BV54" s="35" t="s">
        <v>33</v>
      </c>
      <c r="BW54" s="17">
        <v>0</v>
      </c>
      <c r="BX54" s="36"/>
      <c r="BY54" s="12">
        <f t="shared" si="24"/>
        <v>-8</v>
      </c>
      <c r="BZ54" s="14">
        <f t="shared" si="25"/>
        <v>0</v>
      </c>
      <c r="CA54" s="13" t="e">
        <f t="shared" si="26"/>
        <v>#DIV/0!</v>
      </c>
      <c r="CC54" s="16"/>
      <c r="CD54" s="35" t="s">
        <v>33</v>
      </c>
      <c r="CE54" s="17">
        <v>11</v>
      </c>
      <c r="CF54" s="36"/>
      <c r="CG54" s="12">
        <f t="shared" si="27"/>
        <v>11</v>
      </c>
      <c r="CH54" s="14">
        <f t="shared" si="28"/>
        <v>0</v>
      </c>
      <c r="CI54" s="13" t="e">
        <f t="shared" si="29"/>
        <v>#DIV/0!</v>
      </c>
      <c r="CK54" s="16"/>
      <c r="CL54" s="35" t="s">
        <v>33</v>
      </c>
      <c r="CM54" s="17">
        <v>6</v>
      </c>
      <c r="CN54" s="36"/>
      <c r="CO54" s="12">
        <f t="shared" si="30"/>
        <v>-5</v>
      </c>
      <c r="CP54" s="14">
        <f t="shared" si="31"/>
        <v>0</v>
      </c>
      <c r="CQ54" s="13" t="e">
        <f t="shared" si="32"/>
        <v>#DIV/0!</v>
      </c>
      <c r="CS54" s="16"/>
      <c r="CT54" s="35" t="s">
        <v>33</v>
      </c>
      <c r="CU54" s="17">
        <v>4</v>
      </c>
      <c r="CV54" s="36"/>
      <c r="CW54" s="12">
        <f t="shared" si="33"/>
        <v>-2</v>
      </c>
      <c r="CX54" s="14">
        <f t="shared" si="34"/>
        <v>0</v>
      </c>
      <c r="CY54" s="13" t="e">
        <f t="shared" si="35"/>
        <v>#DIV/0!</v>
      </c>
    </row>
    <row r="55" spans="1:103" s="12" customFormat="1" ht="20" customHeight="1">
      <c r="A55" s="16"/>
      <c r="B55" s="15" t="s">
        <v>10</v>
      </c>
      <c r="C55" s="12">
        <v>195</v>
      </c>
      <c r="D55" s="14">
        <v>201085.71428501996</v>
      </c>
      <c r="F55" s="14"/>
      <c r="G55" s="13"/>
      <c r="I55" s="16"/>
      <c r="J55" s="15" t="s">
        <v>10</v>
      </c>
      <c r="K55" s="12">
        <v>177</v>
      </c>
      <c r="L55" s="14">
        <v>176664.76190412001</v>
      </c>
      <c r="M55" s="12">
        <f t="shared" si="54"/>
        <v>-18</v>
      </c>
      <c r="N55" s="14">
        <f t="shared" si="55"/>
        <v>-24420.952380899951</v>
      </c>
      <c r="O55" s="13">
        <f t="shared" si="56"/>
        <v>-0.12144548640728184</v>
      </c>
      <c r="Q55" s="16"/>
      <c r="R55" s="15" t="s">
        <v>10</v>
      </c>
      <c r="S55" s="12">
        <v>159</v>
      </c>
      <c r="T55" s="14">
        <v>146878.09523749998</v>
      </c>
      <c r="U55" s="12">
        <f t="shared" si="3"/>
        <v>-18</v>
      </c>
      <c r="V55" s="14">
        <f t="shared" si="4"/>
        <v>-29786.666666620033</v>
      </c>
      <c r="W55" s="13">
        <f t="shared" si="5"/>
        <v>-0.16860559143529674</v>
      </c>
      <c r="Y55" s="16"/>
      <c r="Z55" s="15" t="s">
        <v>10</v>
      </c>
      <c r="AA55" s="12">
        <v>178</v>
      </c>
      <c r="AB55" s="14">
        <v>165220.95238037998</v>
      </c>
      <c r="AC55" s="12">
        <f t="shared" si="6"/>
        <v>19</v>
      </c>
      <c r="AD55" s="14">
        <f t="shared" si="7"/>
        <v>18342.857142880006</v>
      </c>
      <c r="AE55" s="13">
        <f t="shared" si="8"/>
        <v>0.12488490617487819</v>
      </c>
      <c r="AG55" s="16"/>
      <c r="AH55" s="15" t="s">
        <v>10</v>
      </c>
      <c r="AI55" s="12">
        <v>173</v>
      </c>
      <c r="AJ55" s="14">
        <v>137703.80952326997</v>
      </c>
      <c r="AK55" s="12">
        <f t="shared" si="9"/>
        <v>-5</v>
      </c>
      <c r="AL55" s="14">
        <f t="shared" si="10"/>
        <v>-27517.142857110011</v>
      </c>
      <c r="AM55" s="13">
        <f t="shared" si="11"/>
        <v>-0.1665475380734924</v>
      </c>
      <c r="AO55" s="16"/>
      <c r="AP55" s="15" t="s">
        <v>10</v>
      </c>
      <c r="AQ55" s="12">
        <v>181</v>
      </c>
      <c r="AR55" s="14">
        <v>146166.66666607998</v>
      </c>
      <c r="AS55" s="12">
        <f t="shared" si="12"/>
        <v>8</v>
      </c>
      <c r="AT55" s="14">
        <f t="shared" si="13"/>
        <v>8462.8571428100113</v>
      </c>
      <c r="AU55" s="13">
        <f t="shared" si="14"/>
        <v>6.1456957306470959E-2</v>
      </c>
      <c r="AW55" s="16"/>
      <c r="AX55" s="15" t="s">
        <v>10</v>
      </c>
      <c r="AY55" s="12">
        <v>182</v>
      </c>
      <c r="AZ55" s="14">
        <v>165979.04761844996</v>
      </c>
      <c r="BA55" s="12">
        <f t="shared" si="15"/>
        <v>1</v>
      </c>
      <c r="BB55" s="14">
        <f t="shared" si="16"/>
        <v>19812.380952369975</v>
      </c>
      <c r="BC55" s="13">
        <f t="shared" si="17"/>
        <v>0.13554650594606271</v>
      </c>
      <c r="BE55" s="16"/>
      <c r="BF55" s="15" t="s">
        <v>10</v>
      </c>
      <c r="BG55" s="12">
        <v>192</v>
      </c>
      <c r="BH55" s="14">
        <v>165906.66666602998</v>
      </c>
      <c r="BI55" s="12">
        <f t="shared" si="42"/>
        <v>10</v>
      </c>
      <c r="BJ55" s="14">
        <f t="shared" si="43"/>
        <v>-72.380952419975074</v>
      </c>
      <c r="BK55" s="13">
        <f t="shared" si="44"/>
        <v>-4.3608487612462553E-4</v>
      </c>
      <c r="BM55" s="16"/>
      <c r="BN55" s="15" t="s">
        <v>10</v>
      </c>
      <c r="BO55" s="12">
        <v>189</v>
      </c>
      <c r="BP55" s="14">
        <v>148811.42857085995</v>
      </c>
      <c r="BQ55" s="12">
        <f t="shared" si="21"/>
        <v>-3</v>
      </c>
      <c r="BR55" s="14">
        <f t="shared" si="22"/>
        <v>-17095.238095170032</v>
      </c>
      <c r="BS55" s="13">
        <f t="shared" si="23"/>
        <v>-0.10304129688521038</v>
      </c>
      <c r="BU55" s="16"/>
      <c r="BV55" s="15" t="s">
        <v>10</v>
      </c>
      <c r="BW55" s="12">
        <v>135</v>
      </c>
      <c r="BX55" s="14">
        <v>109628.57142809997</v>
      </c>
      <c r="BY55" s="12">
        <f t="shared" si="24"/>
        <v>-54</v>
      </c>
      <c r="BZ55" s="14">
        <f t="shared" si="25"/>
        <v>-39182.857142759982</v>
      </c>
      <c r="CA55" s="13">
        <f t="shared" si="26"/>
        <v>-0.26330542969085319</v>
      </c>
      <c r="CC55" s="16"/>
      <c r="CD55" s="15" t="s">
        <v>10</v>
      </c>
      <c r="CE55" s="12">
        <v>178</v>
      </c>
      <c r="CF55" s="14">
        <v>157690.4761898999</v>
      </c>
      <c r="CG55" s="12">
        <f t="shared" si="27"/>
        <v>43</v>
      </c>
      <c r="CH55" s="14">
        <f t="shared" si="28"/>
        <v>48061.904761799931</v>
      </c>
      <c r="CI55" s="13">
        <f t="shared" si="29"/>
        <v>0.43840674137874169</v>
      </c>
      <c r="CK55" s="16"/>
      <c r="CL55" s="15" t="s">
        <v>10</v>
      </c>
      <c r="CM55" s="12">
        <v>131</v>
      </c>
      <c r="CN55" s="14">
        <v>112212.38095193</v>
      </c>
      <c r="CO55" s="12">
        <f t="shared" si="30"/>
        <v>-47</v>
      </c>
      <c r="CP55" s="14">
        <f t="shared" si="31"/>
        <v>-45478.095237969901</v>
      </c>
      <c r="CQ55" s="13">
        <f t="shared" si="32"/>
        <v>-0.28840102672530821</v>
      </c>
      <c r="CS55" s="16"/>
      <c r="CT55" s="15" t="s">
        <v>10</v>
      </c>
      <c r="CU55" s="12">
        <v>154</v>
      </c>
      <c r="CV55" s="14">
        <v>137369.52380897995</v>
      </c>
      <c r="CW55" s="12">
        <f t="shared" si="33"/>
        <v>23</v>
      </c>
      <c r="CX55" s="14">
        <f t="shared" si="34"/>
        <v>25157.142857049956</v>
      </c>
      <c r="CY55" s="13">
        <f t="shared" si="35"/>
        <v>0.22419222053426419</v>
      </c>
    </row>
    <row r="56" spans="1:103" s="12" customFormat="1" ht="20" customHeight="1">
      <c r="A56" s="16"/>
      <c r="B56" s="15" t="s">
        <v>9</v>
      </c>
      <c r="C56" s="12">
        <v>137</v>
      </c>
      <c r="D56" s="14">
        <v>223028.57142847998</v>
      </c>
      <c r="F56" s="14"/>
      <c r="G56" s="13"/>
      <c r="I56" s="16"/>
      <c r="J56" s="15" t="s">
        <v>9</v>
      </c>
      <c r="K56" s="12">
        <v>113</v>
      </c>
      <c r="L56" s="14">
        <v>146590.47619036003</v>
      </c>
      <c r="M56" s="12">
        <f t="shared" si="54"/>
        <v>-24</v>
      </c>
      <c r="N56" s="14">
        <f t="shared" si="55"/>
        <v>-76438.095238119946</v>
      </c>
      <c r="O56" s="13">
        <f t="shared" si="56"/>
        <v>-0.34272781621000448</v>
      </c>
      <c r="Q56" s="16"/>
      <c r="R56" s="15" t="s">
        <v>9</v>
      </c>
      <c r="S56" s="12">
        <v>106</v>
      </c>
      <c r="T56" s="14">
        <v>106586.66666656001</v>
      </c>
      <c r="U56" s="12">
        <f t="shared" si="3"/>
        <v>-7</v>
      </c>
      <c r="V56" s="14">
        <f t="shared" si="4"/>
        <v>-40003.809523800024</v>
      </c>
      <c r="W56" s="13">
        <f t="shared" si="5"/>
        <v>-0.27289501039516184</v>
      </c>
      <c r="Y56" s="16"/>
      <c r="Z56" s="15" t="s">
        <v>9</v>
      </c>
      <c r="AA56" s="12">
        <v>116</v>
      </c>
      <c r="AB56" s="14">
        <v>93466.666666580015</v>
      </c>
      <c r="AC56" s="12">
        <f t="shared" si="6"/>
        <v>10</v>
      </c>
      <c r="AD56" s="14">
        <f t="shared" si="7"/>
        <v>-13119.999999979991</v>
      </c>
      <c r="AE56" s="13">
        <f t="shared" si="8"/>
        <v>-0.12309231923936502</v>
      </c>
      <c r="AG56" s="16"/>
      <c r="AH56" s="15" t="s">
        <v>9</v>
      </c>
      <c r="AI56" s="12">
        <v>97</v>
      </c>
      <c r="AJ56" s="14">
        <v>87552.380952290026</v>
      </c>
      <c r="AK56" s="12">
        <f t="shared" si="9"/>
        <v>-19</v>
      </c>
      <c r="AL56" s="14">
        <f t="shared" si="10"/>
        <v>-5914.2857142899884</v>
      </c>
      <c r="AM56" s="13">
        <f t="shared" si="11"/>
        <v>-6.3276951294174086E-2</v>
      </c>
      <c r="AO56" s="16"/>
      <c r="AP56" s="15" t="s">
        <v>9</v>
      </c>
      <c r="AQ56" s="12">
        <v>59</v>
      </c>
      <c r="AR56" s="14">
        <v>44429.523809440005</v>
      </c>
      <c r="AS56" s="12">
        <f t="shared" si="12"/>
        <v>-38</v>
      </c>
      <c r="AT56" s="14">
        <f t="shared" si="13"/>
        <v>-43122.857142850022</v>
      </c>
      <c r="AU56" s="13">
        <f t="shared" si="14"/>
        <v>-0.49253780050081092</v>
      </c>
      <c r="AW56" s="16"/>
      <c r="AX56" s="15" t="s">
        <v>9</v>
      </c>
      <c r="AY56" s="12">
        <v>73</v>
      </c>
      <c r="AZ56" s="14">
        <v>67780.952380880015</v>
      </c>
      <c r="BA56" s="12">
        <f t="shared" si="15"/>
        <v>14</v>
      </c>
      <c r="BB56" s="14">
        <f t="shared" si="16"/>
        <v>23351.42857144001</v>
      </c>
      <c r="BC56" s="13">
        <f t="shared" si="17"/>
        <v>0.5255835887774809</v>
      </c>
      <c r="BE56" s="16"/>
      <c r="BF56" s="15" t="s">
        <v>9</v>
      </c>
      <c r="BG56" s="12">
        <v>79</v>
      </c>
      <c r="BH56" s="14">
        <v>62961.904761820013</v>
      </c>
      <c r="BI56" s="12">
        <f t="shared" si="42"/>
        <v>6</v>
      </c>
      <c r="BJ56" s="14">
        <f t="shared" si="43"/>
        <v>-4819.047619060002</v>
      </c>
      <c r="BK56" s="13">
        <f t="shared" si="44"/>
        <v>-7.1097372488666641E-2</v>
      </c>
      <c r="BM56" s="16"/>
      <c r="BN56" s="15" t="s">
        <v>9</v>
      </c>
      <c r="BO56" s="12">
        <v>88</v>
      </c>
      <c r="BP56" s="14">
        <v>83067.619047529995</v>
      </c>
      <c r="BQ56" s="12">
        <f t="shared" si="21"/>
        <v>9</v>
      </c>
      <c r="BR56" s="14">
        <f t="shared" si="22"/>
        <v>20105.714285709983</v>
      </c>
      <c r="BS56" s="13">
        <f t="shared" si="23"/>
        <v>0.31933141733510662</v>
      </c>
      <c r="BU56" s="16"/>
      <c r="BV56" s="15" t="s">
        <v>9</v>
      </c>
      <c r="BW56" s="12">
        <v>76</v>
      </c>
      <c r="BX56" s="14">
        <v>82657.142857049999</v>
      </c>
      <c r="BY56" s="12">
        <f t="shared" si="24"/>
        <v>-12</v>
      </c>
      <c r="BZ56" s="14">
        <f t="shared" si="25"/>
        <v>-410.47619047999615</v>
      </c>
      <c r="CA56" s="13">
        <f t="shared" si="26"/>
        <v>-4.9414705174723747E-3</v>
      </c>
      <c r="CC56" s="16"/>
      <c r="CD56" s="15" t="s">
        <v>9</v>
      </c>
      <c r="CE56" s="12">
        <v>76</v>
      </c>
      <c r="CF56" s="14">
        <v>92514.285714180005</v>
      </c>
      <c r="CG56" s="12">
        <f t="shared" si="27"/>
        <v>0</v>
      </c>
      <c r="CH56" s="14">
        <f t="shared" si="28"/>
        <v>9857.1428571300057</v>
      </c>
      <c r="CI56" s="13">
        <f t="shared" si="29"/>
        <v>0.11925337020391903</v>
      </c>
      <c r="CK56" s="16"/>
      <c r="CL56" s="15" t="s">
        <v>9</v>
      </c>
      <c r="CM56" s="12">
        <v>90</v>
      </c>
      <c r="CN56" s="14">
        <v>85257.142857049999</v>
      </c>
      <c r="CO56" s="12">
        <f t="shared" si="30"/>
        <v>14</v>
      </c>
      <c r="CP56" s="14">
        <f t="shared" si="31"/>
        <v>-7257.1428571300057</v>
      </c>
      <c r="CQ56" s="13">
        <f t="shared" si="32"/>
        <v>-7.8443483631822242E-2</v>
      </c>
      <c r="CS56" s="16"/>
      <c r="CT56" s="15" t="s">
        <v>9</v>
      </c>
      <c r="CU56" s="12">
        <v>100</v>
      </c>
      <c r="CV56" s="14">
        <v>74514.285714190002</v>
      </c>
      <c r="CW56" s="12">
        <f t="shared" si="33"/>
        <v>10</v>
      </c>
      <c r="CX56" s="14">
        <f t="shared" si="34"/>
        <v>-10742.857142859997</v>
      </c>
      <c r="CY56" s="13">
        <f t="shared" si="35"/>
        <v>-0.12600536193046563</v>
      </c>
    </row>
    <row r="57" spans="1:103" s="12" customFormat="1" ht="20" customHeight="1">
      <c r="A57" s="16"/>
      <c r="B57" s="15" t="s">
        <v>8</v>
      </c>
      <c r="C57" s="12">
        <v>15</v>
      </c>
      <c r="D57" s="14">
        <v>95286.66666665001</v>
      </c>
      <c r="F57" s="14"/>
      <c r="G57" s="13"/>
      <c r="I57" s="16"/>
      <c r="J57" s="15" t="s">
        <v>8</v>
      </c>
      <c r="K57" s="12">
        <v>20</v>
      </c>
      <c r="L57" s="14">
        <v>119809.52380950999</v>
      </c>
      <c r="M57" s="12">
        <f t="shared" si="54"/>
        <v>5</v>
      </c>
      <c r="N57" s="14">
        <f t="shared" si="55"/>
        <v>24522.857142859983</v>
      </c>
      <c r="O57" s="13">
        <f t="shared" si="56"/>
        <v>0.2573587470390849</v>
      </c>
      <c r="Q57" s="16"/>
      <c r="R57" s="15" t="s">
        <v>8</v>
      </c>
      <c r="S57" s="12">
        <v>20</v>
      </c>
      <c r="T57" s="14">
        <v>122666.66666665</v>
      </c>
      <c r="U57" s="12">
        <f t="shared" si="3"/>
        <v>0</v>
      </c>
      <c r="V57" s="14">
        <f t="shared" si="4"/>
        <v>2857.1428571400029</v>
      </c>
      <c r="W57" s="13">
        <f t="shared" si="5"/>
        <v>2.3847376788532187E-2</v>
      </c>
      <c r="Y57" s="16"/>
      <c r="Z57" s="15" t="s">
        <v>8</v>
      </c>
      <c r="AA57" s="12">
        <v>10</v>
      </c>
      <c r="AB57" s="14">
        <v>54186.666666650002</v>
      </c>
      <c r="AC57" s="12">
        <f t="shared" si="6"/>
        <v>-10</v>
      </c>
      <c r="AD57" s="14">
        <f t="shared" si="7"/>
        <v>-68480</v>
      </c>
      <c r="AE57" s="13">
        <f t="shared" si="8"/>
        <v>-0.55826086956529331</v>
      </c>
      <c r="AG57" s="16"/>
      <c r="AH57" s="15" t="s">
        <v>8</v>
      </c>
      <c r="AI57" s="12">
        <v>10</v>
      </c>
      <c r="AJ57" s="14">
        <v>51333.333333329996</v>
      </c>
      <c r="AK57" s="12">
        <f t="shared" si="9"/>
        <v>0</v>
      </c>
      <c r="AL57" s="14">
        <f t="shared" si="10"/>
        <v>-2853.3333333200062</v>
      </c>
      <c r="AM57" s="13">
        <f t="shared" si="11"/>
        <v>-5.2657480314730873E-2</v>
      </c>
      <c r="AO57" s="16"/>
      <c r="AP57" s="15" t="s">
        <v>8</v>
      </c>
      <c r="AQ57" s="12">
        <v>12</v>
      </c>
      <c r="AR57" s="14">
        <v>55599.999999989996</v>
      </c>
      <c r="AS57" s="12">
        <f t="shared" si="12"/>
        <v>2</v>
      </c>
      <c r="AT57" s="14">
        <f t="shared" si="13"/>
        <v>4266.6666666599995</v>
      </c>
      <c r="AU57" s="13">
        <f t="shared" si="14"/>
        <v>8.3116883116758633E-2</v>
      </c>
      <c r="AW57" s="16"/>
      <c r="AX57" s="15" t="s">
        <v>8</v>
      </c>
      <c r="AY57" s="12">
        <v>17</v>
      </c>
      <c r="AZ57" s="14">
        <v>114123.8095238</v>
      </c>
      <c r="BA57" s="12">
        <f t="shared" si="15"/>
        <v>5</v>
      </c>
      <c r="BB57" s="14">
        <f t="shared" si="16"/>
        <v>58523.80952381</v>
      </c>
      <c r="BC57" s="13">
        <f t="shared" si="17"/>
        <v>1.052586502226988</v>
      </c>
      <c r="BE57" s="16"/>
      <c r="BF57" s="15" t="s">
        <v>8</v>
      </c>
      <c r="BG57" s="12">
        <v>44</v>
      </c>
      <c r="BH57" s="14">
        <v>308152.38095237</v>
      </c>
      <c r="BI57" s="12">
        <f t="shared" si="42"/>
        <v>27</v>
      </c>
      <c r="BJ57" s="14">
        <f t="shared" si="43"/>
        <v>194028.57142857002</v>
      </c>
      <c r="BK57" s="13">
        <f t="shared" si="44"/>
        <v>1.7001585579572356</v>
      </c>
      <c r="BM57" s="16"/>
      <c r="BN57" s="15" t="s">
        <v>8</v>
      </c>
      <c r="BO57" s="12">
        <v>29</v>
      </c>
      <c r="BP57" s="14">
        <v>207939.04761903</v>
      </c>
      <c r="BQ57" s="12">
        <f t="shared" si="21"/>
        <v>-15</v>
      </c>
      <c r="BR57" s="14">
        <f t="shared" si="22"/>
        <v>-100213.33333334001</v>
      </c>
      <c r="BS57" s="13">
        <f t="shared" si="23"/>
        <v>-0.32520707133147098</v>
      </c>
      <c r="BU57" s="16"/>
      <c r="BV57" s="15" t="s">
        <v>8</v>
      </c>
      <c r="BW57" s="12">
        <v>27</v>
      </c>
      <c r="BX57" s="14">
        <v>174028.57142855</v>
      </c>
      <c r="BY57" s="12">
        <f t="shared" si="24"/>
        <v>-2</v>
      </c>
      <c r="BZ57" s="14">
        <f t="shared" si="25"/>
        <v>-33910.476190479996</v>
      </c>
      <c r="CA57" s="13">
        <f t="shared" si="26"/>
        <v>-0.16307892422691178</v>
      </c>
      <c r="CC57" s="16"/>
      <c r="CD57" s="15" t="s">
        <v>8</v>
      </c>
      <c r="CE57" s="12">
        <v>31</v>
      </c>
      <c r="CF57" s="14">
        <v>212561.90476189001</v>
      </c>
      <c r="CG57" s="12">
        <f t="shared" si="27"/>
        <v>4</v>
      </c>
      <c r="CH57" s="14">
        <f t="shared" si="28"/>
        <v>38533.333333340008</v>
      </c>
      <c r="CI57" s="13">
        <f t="shared" si="29"/>
        <v>0.2214195808023422</v>
      </c>
      <c r="CK57" s="16"/>
      <c r="CL57" s="15" t="s">
        <v>8</v>
      </c>
      <c r="CM57" s="12">
        <v>21</v>
      </c>
      <c r="CN57" s="14">
        <v>132657.14285713999</v>
      </c>
      <c r="CO57" s="12">
        <f t="shared" si="30"/>
        <v>-10</v>
      </c>
      <c r="CP57" s="14">
        <f t="shared" si="31"/>
        <v>-79904.761904750019</v>
      </c>
      <c r="CQ57" s="13">
        <f t="shared" si="32"/>
        <v>-0.37591289932341659</v>
      </c>
      <c r="CS57" s="16"/>
      <c r="CT57" s="15" t="s">
        <v>8</v>
      </c>
      <c r="CU57" s="12">
        <v>26</v>
      </c>
      <c r="CV57" s="14">
        <v>169752.38095237</v>
      </c>
      <c r="CW57" s="12">
        <f t="shared" si="33"/>
        <v>5</v>
      </c>
      <c r="CX57" s="14">
        <f t="shared" si="34"/>
        <v>37095.238095230015</v>
      </c>
      <c r="CY57" s="13">
        <f t="shared" si="35"/>
        <v>0.27963242156646106</v>
      </c>
    </row>
    <row r="58" spans="1:103" s="12" customFormat="1" ht="20" customHeight="1">
      <c r="A58" s="16"/>
      <c r="B58" s="15" t="s">
        <v>7</v>
      </c>
      <c r="C58" s="12">
        <v>36</v>
      </c>
      <c r="D58" s="14">
        <v>448952.38095230004</v>
      </c>
      <c r="F58" s="14"/>
      <c r="G58" s="13"/>
      <c r="I58" s="16"/>
      <c r="J58" s="15" t="s">
        <v>7</v>
      </c>
      <c r="K58" s="12">
        <v>19</v>
      </c>
      <c r="L58" s="14">
        <v>279142.8571428</v>
      </c>
      <c r="M58" s="12">
        <f t="shared" si="54"/>
        <v>-17</v>
      </c>
      <c r="N58" s="14">
        <f t="shared" si="55"/>
        <v>-169809.52380950004</v>
      </c>
      <c r="O58" s="13">
        <f t="shared" si="56"/>
        <v>-0.37823504454816964</v>
      </c>
      <c r="Q58" s="16"/>
      <c r="R58" s="15" t="s">
        <v>7</v>
      </c>
      <c r="S58" s="12">
        <v>26</v>
      </c>
      <c r="T58" s="14">
        <v>334190.47619040008</v>
      </c>
      <c r="U58" s="12">
        <f t="shared" si="3"/>
        <v>7</v>
      </c>
      <c r="V58" s="14">
        <f t="shared" si="4"/>
        <v>55047.619047600077</v>
      </c>
      <c r="W58" s="13">
        <f t="shared" si="5"/>
        <v>0.19720232002726684</v>
      </c>
      <c r="Y58" s="16"/>
      <c r="Z58" s="15" t="s">
        <v>7</v>
      </c>
      <c r="AA58" s="12">
        <v>14</v>
      </c>
      <c r="AB58" s="14">
        <v>167238.09523805999</v>
      </c>
      <c r="AC58" s="12">
        <f t="shared" si="6"/>
        <v>-12</v>
      </c>
      <c r="AD58" s="14">
        <f t="shared" si="7"/>
        <v>-166952.38095234009</v>
      </c>
      <c r="AE58" s="13">
        <f t="shared" si="8"/>
        <v>-0.49957252778568545</v>
      </c>
      <c r="AG58" s="16"/>
      <c r="AH58" s="15" t="s">
        <v>7</v>
      </c>
      <c r="AI58" s="12">
        <v>11</v>
      </c>
      <c r="AJ58" s="14">
        <v>133238.09523804998</v>
      </c>
      <c r="AK58" s="12">
        <f t="shared" si="9"/>
        <v>-3</v>
      </c>
      <c r="AL58" s="14">
        <f t="shared" si="10"/>
        <v>-34000.000000010012</v>
      </c>
      <c r="AM58" s="13">
        <f t="shared" si="11"/>
        <v>-0.20330296127572914</v>
      </c>
      <c r="AO58" s="16"/>
      <c r="AP58" s="15" t="s">
        <v>7</v>
      </c>
      <c r="AQ58" s="12">
        <v>19</v>
      </c>
      <c r="AR58" s="14">
        <v>264857.14285708999</v>
      </c>
      <c r="AS58" s="12">
        <f t="shared" si="12"/>
        <v>8</v>
      </c>
      <c r="AT58" s="14">
        <f t="shared" si="13"/>
        <v>131619.04761904001</v>
      </c>
      <c r="AU58" s="13">
        <f t="shared" si="14"/>
        <v>0.9878484631882698</v>
      </c>
      <c r="AW58" s="16"/>
      <c r="AX58" s="15" t="s">
        <v>7</v>
      </c>
      <c r="AY58" s="12">
        <v>14</v>
      </c>
      <c r="AZ58" s="14">
        <v>158666.66666660999</v>
      </c>
      <c r="BA58" s="12">
        <f t="shared" si="15"/>
        <v>-5</v>
      </c>
      <c r="BB58" s="14">
        <f t="shared" si="16"/>
        <v>-106190.47619048</v>
      </c>
      <c r="BC58" s="13">
        <f t="shared" si="17"/>
        <v>-0.40093491549811672</v>
      </c>
      <c r="BE58" s="16"/>
      <c r="BF58" s="15" t="s">
        <v>7</v>
      </c>
      <c r="BG58" s="12">
        <v>17</v>
      </c>
      <c r="BH58" s="14">
        <v>237428.57142852998</v>
      </c>
      <c r="BI58" s="12">
        <f t="shared" si="42"/>
        <v>3</v>
      </c>
      <c r="BJ58" s="14">
        <f t="shared" si="43"/>
        <v>78761.904761919985</v>
      </c>
      <c r="BK58" s="13">
        <f t="shared" si="44"/>
        <v>0.49639855942404276</v>
      </c>
      <c r="BM58" s="16"/>
      <c r="BN58" s="15" t="s">
        <v>7</v>
      </c>
      <c r="BO58" s="12">
        <v>18</v>
      </c>
      <c r="BP58" s="14">
        <v>239809.52380944998</v>
      </c>
      <c r="BQ58" s="12">
        <f t="shared" si="21"/>
        <v>1</v>
      </c>
      <c r="BR58" s="14">
        <f t="shared" si="22"/>
        <v>2380.9523809200036</v>
      </c>
      <c r="BS58" s="13">
        <f t="shared" si="23"/>
        <v>1.0028078620001766E-2</v>
      </c>
      <c r="BU58" s="16"/>
      <c r="BV58" s="15" t="s">
        <v>7</v>
      </c>
      <c r="BW58" s="12">
        <v>10</v>
      </c>
      <c r="BX58" s="14">
        <v>136190.47619043</v>
      </c>
      <c r="BY58" s="12">
        <f t="shared" si="24"/>
        <v>-8</v>
      </c>
      <c r="BZ58" s="14">
        <f t="shared" si="25"/>
        <v>-103619.04761901998</v>
      </c>
      <c r="CA58" s="13">
        <f t="shared" si="26"/>
        <v>-0.43208895949167786</v>
      </c>
      <c r="CC58" s="16"/>
      <c r="CD58" s="15" t="s">
        <v>7</v>
      </c>
      <c r="CE58" s="12">
        <v>16</v>
      </c>
      <c r="CF58" s="14">
        <v>207047.61904757001</v>
      </c>
      <c r="CG58" s="12">
        <f t="shared" si="27"/>
        <v>6</v>
      </c>
      <c r="CH58" s="14">
        <f t="shared" si="28"/>
        <v>70857.142857140017</v>
      </c>
      <c r="CI58" s="13">
        <f t="shared" si="29"/>
        <v>0.5202797202798759</v>
      </c>
      <c r="CK58" s="16"/>
      <c r="CL58" s="15" t="s">
        <v>7</v>
      </c>
      <c r="CM58" s="12">
        <v>16</v>
      </c>
      <c r="CN58" s="14">
        <v>197523.80952376002</v>
      </c>
      <c r="CO58" s="12">
        <f t="shared" si="30"/>
        <v>0</v>
      </c>
      <c r="CP58" s="14">
        <f t="shared" si="31"/>
        <v>-9523.8095238099922</v>
      </c>
      <c r="CQ58" s="13">
        <f t="shared" si="32"/>
        <v>-4.5998160073610211E-2</v>
      </c>
      <c r="CS58" s="16"/>
      <c r="CT58" s="15" t="s">
        <v>7</v>
      </c>
      <c r="CU58" s="12">
        <v>15</v>
      </c>
      <c r="CV58" s="14">
        <v>200952.38095233004</v>
      </c>
      <c r="CW58" s="12">
        <f t="shared" si="33"/>
        <v>-1</v>
      </c>
      <c r="CX58" s="14">
        <f t="shared" si="34"/>
        <v>3428.5714285700233</v>
      </c>
      <c r="CY58" s="13">
        <f t="shared" si="35"/>
        <v>1.7357762777239279E-2</v>
      </c>
    </row>
    <row r="59" spans="1:103" s="12" customFormat="1" ht="20" customHeight="1">
      <c r="A59" s="16"/>
      <c r="B59" s="15" t="s">
        <v>6</v>
      </c>
      <c r="C59" s="12">
        <v>0</v>
      </c>
      <c r="D59" s="14">
        <v>0</v>
      </c>
      <c r="F59" s="14"/>
      <c r="G59" s="13"/>
      <c r="I59" s="16"/>
      <c r="J59" s="15" t="s">
        <v>6</v>
      </c>
      <c r="K59" s="12">
        <v>0</v>
      </c>
      <c r="L59" s="14">
        <v>0</v>
      </c>
      <c r="M59" s="12">
        <f t="shared" si="54"/>
        <v>0</v>
      </c>
      <c r="N59" s="14">
        <f t="shared" si="55"/>
        <v>0</v>
      </c>
      <c r="O59" s="13" t="e">
        <f t="shared" si="56"/>
        <v>#DIV/0!</v>
      </c>
      <c r="Q59" s="16"/>
      <c r="R59" s="15" t="s">
        <v>6</v>
      </c>
      <c r="S59" s="12">
        <v>1</v>
      </c>
      <c r="T59" s="14">
        <v>2857.1428571400002</v>
      </c>
      <c r="U59" s="12">
        <f t="shared" si="3"/>
        <v>1</v>
      </c>
      <c r="V59" s="14">
        <f t="shared" si="4"/>
        <v>2857.1428571400002</v>
      </c>
      <c r="W59" s="13" t="e">
        <f t="shared" si="5"/>
        <v>#DIV/0!</v>
      </c>
      <c r="Y59" s="16"/>
      <c r="Z59" s="15" t="s">
        <v>6</v>
      </c>
      <c r="AA59" s="12">
        <v>1</v>
      </c>
      <c r="AB59" s="14">
        <v>8857.1428571399993</v>
      </c>
      <c r="AC59" s="12">
        <f t="shared" si="6"/>
        <v>0</v>
      </c>
      <c r="AD59" s="14">
        <f t="shared" si="7"/>
        <v>5999.9999999999991</v>
      </c>
      <c r="AE59" s="13">
        <f t="shared" si="8"/>
        <v>2.1000000000020997</v>
      </c>
      <c r="AG59" s="16"/>
      <c r="AH59" s="15" t="s">
        <v>6</v>
      </c>
      <c r="AJ59" s="14"/>
      <c r="AK59" s="12">
        <f t="shared" si="9"/>
        <v>-1</v>
      </c>
      <c r="AL59" s="14">
        <f t="shared" si="10"/>
        <v>-8857.1428571399993</v>
      </c>
      <c r="AM59" s="13">
        <f t="shared" si="11"/>
        <v>-1</v>
      </c>
      <c r="AO59" s="16"/>
      <c r="AP59" s="15" t="s">
        <v>6</v>
      </c>
      <c r="AR59" s="14"/>
      <c r="AS59" s="12">
        <f t="shared" si="12"/>
        <v>0</v>
      </c>
      <c r="AT59" s="14">
        <f t="shared" si="13"/>
        <v>0</v>
      </c>
      <c r="AU59" s="13" t="e">
        <f t="shared" si="14"/>
        <v>#DIV/0!</v>
      </c>
      <c r="AW59" s="16"/>
      <c r="AX59" s="15" t="s">
        <v>6</v>
      </c>
      <c r="AZ59" s="14"/>
      <c r="BA59" s="12">
        <f t="shared" si="15"/>
        <v>0</v>
      </c>
      <c r="BB59" s="14">
        <f t="shared" si="16"/>
        <v>0</v>
      </c>
      <c r="BC59" s="13" t="e">
        <f t="shared" si="17"/>
        <v>#DIV/0!</v>
      </c>
      <c r="BE59" s="16"/>
      <c r="BF59" s="15" t="s">
        <v>6</v>
      </c>
      <c r="BG59" s="12">
        <v>1</v>
      </c>
      <c r="BH59" s="14">
        <v>2857.1428571400002</v>
      </c>
      <c r="BI59" s="12">
        <f t="shared" si="42"/>
        <v>1</v>
      </c>
      <c r="BJ59" s="14">
        <f t="shared" si="43"/>
        <v>2857.1428571400002</v>
      </c>
      <c r="BK59" s="13" t="e">
        <f t="shared" si="44"/>
        <v>#DIV/0!</v>
      </c>
      <c r="BM59" s="16"/>
      <c r="BN59" s="15" t="s">
        <v>6</v>
      </c>
      <c r="BO59" s="12">
        <v>0</v>
      </c>
      <c r="BP59" s="14">
        <v>0</v>
      </c>
      <c r="BQ59" s="12">
        <f t="shared" si="21"/>
        <v>-1</v>
      </c>
      <c r="BR59" s="14">
        <f t="shared" si="22"/>
        <v>-2857.1428571400002</v>
      </c>
      <c r="BS59" s="13">
        <f t="shared" si="23"/>
        <v>-1</v>
      </c>
      <c r="BU59" s="16"/>
      <c r="BV59" s="15" t="s">
        <v>6</v>
      </c>
      <c r="BW59" s="12">
        <v>0</v>
      </c>
      <c r="BX59" s="14">
        <v>0</v>
      </c>
      <c r="BY59" s="12">
        <f t="shared" si="24"/>
        <v>0</v>
      </c>
      <c r="BZ59" s="14">
        <f t="shared" si="25"/>
        <v>0</v>
      </c>
      <c r="CA59" s="13" t="e">
        <f t="shared" si="26"/>
        <v>#DIV/0!</v>
      </c>
      <c r="CC59" s="16"/>
      <c r="CD59" s="15" t="s">
        <v>6</v>
      </c>
      <c r="CE59" s="12">
        <v>0</v>
      </c>
      <c r="CF59" s="14">
        <v>0</v>
      </c>
      <c r="CG59" s="12">
        <f t="shared" si="27"/>
        <v>0</v>
      </c>
      <c r="CH59" s="14">
        <f t="shared" si="28"/>
        <v>0</v>
      </c>
      <c r="CI59" s="13" t="e">
        <f t="shared" si="29"/>
        <v>#DIV/0!</v>
      </c>
      <c r="CK59" s="16"/>
      <c r="CL59" s="15" t="s">
        <v>6</v>
      </c>
      <c r="CM59" s="12">
        <v>0</v>
      </c>
      <c r="CN59" s="14">
        <v>0</v>
      </c>
      <c r="CO59" s="12">
        <f t="shared" si="30"/>
        <v>0</v>
      </c>
      <c r="CP59" s="14">
        <f t="shared" si="31"/>
        <v>0</v>
      </c>
      <c r="CQ59" s="13" t="e">
        <f t="shared" si="32"/>
        <v>#DIV/0!</v>
      </c>
      <c r="CS59" s="16"/>
      <c r="CT59" s="15" t="s">
        <v>6</v>
      </c>
      <c r="CU59" s="12">
        <v>0</v>
      </c>
      <c r="CV59" s="14">
        <v>0</v>
      </c>
      <c r="CW59" s="12">
        <f t="shared" si="33"/>
        <v>0</v>
      </c>
      <c r="CX59" s="14">
        <f t="shared" si="34"/>
        <v>0</v>
      </c>
      <c r="CY59" s="13" t="e">
        <f t="shared" si="35"/>
        <v>#DIV/0!</v>
      </c>
    </row>
    <row r="60" spans="1:103" s="12" customFormat="1" ht="20" customHeight="1">
      <c r="A60" s="16"/>
      <c r="B60" s="15" t="s">
        <v>5</v>
      </c>
      <c r="C60" s="12">
        <v>5</v>
      </c>
      <c r="D60" s="14">
        <v>14750</v>
      </c>
      <c r="F60" s="14"/>
      <c r="G60" s="13"/>
      <c r="I60" s="16"/>
      <c r="J60" s="15" t="s">
        <v>5</v>
      </c>
      <c r="K60" s="12">
        <v>4</v>
      </c>
      <c r="L60" s="14">
        <v>144623.80952380001</v>
      </c>
      <c r="M60" s="12">
        <f t="shared" si="54"/>
        <v>-1</v>
      </c>
      <c r="N60" s="14">
        <f t="shared" si="55"/>
        <v>129873.80952380001</v>
      </c>
      <c r="O60" s="13">
        <f t="shared" si="56"/>
        <v>8.8050040355118657</v>
      </c>
      <c r="Q60" s="16"/>
      <c r="R60" s="15" t="s">
        <v>5</v>
      </c>
      <c r="S60" s="12">
        <v>5</v>
      </c>
      <c r="T60" s="14">
        <v>29250</v>
      </c>
      <c r="U60" s="12">
        <f t="shared" si="3"/>
        <v>1</v>
      </c>
      <c r="V60" s="14">
        <f t="shared" si="4"/>
        <v>-115373.80952380001</v>
      </c>
      <c r="W60" s="13">
        <f t="shared" si="5"/>
        <v>-0.79775114418358284</v>
      </c>
      <c r="Y60" s="16"/>
      <c r="Z60" s="15" t="s">
        <v>5</v>
      </c>
      <c r="AA60" s="12">
        <v>1</v>
      </c>
      <c r="AB60" s="14">
        <v>4890</v>
      </c>
      <c r="AC60" s="12">
        <f t="shared" si="6"/>
        <v>-4</v>
      </c>
      <c r="AD60" s="14">
        <f t="shared" si="7"/>
        <v>-24360</v>
      </c>
      <c r="AE60" s="13">
        <f t="shared" si="8"/>
        <v>-0.83282051282051284</v>
      </c>
      <c r="AG60" s="16"/>
      <c r="AH60" s="15" t="s">
        <v>5</v>
      </c>
      <c r="AI60" s="12">
        <v>2</v>
      </c>
      <c r="AJ60" s="14">
        <v>12580</v>
      </c>
      <c r="AK60" s="12">
        <f t="shared" si="9"/>
        <v>1</v>
      </c>
      <c r="AL60" s="14">
        <f t="shared" si="10"/>
        <v>7690</v>
      </c>
      <c r="AM60" s="13">
        <f t="shared" si="11"/>
        <v>1.572597137014315</v>
      </c>
      <c r="AO60" s="16"/>
      <c r="AP60" s="15" t="s">
        <v>5</v>
      </c>
      <c r="AQ60" s="12">
        <v>1</v>
      </c>
      <c r="AR60" s="14">
        <v>990</v>
      </c>
      <c r="AS60" s="12">
        <f t="shared" si="12"/>
        <v>-1</v>
      </c>
      <c r="AT60" s="14">
        <f t="shared" si="13"/>
        <v>-11590</v>
      </c>
      <c r="AU60" s="13">
        <f t="shared" si="14"/>
        <v>-0.92130365659777425</v>
      </c>
      <c r="AW60" s="16"/>
      <c r="AX60" s="15" t="s">
        <v>5</v>
      </c>
      <c r="AZ60" s="14"/>
      <c r="BA60" s="12">
        <f t="shared" si="15"/>
        <v>-1</v>
      </c>
      <c r="BB60" s="14">
        <f t="shared" si="16"/>
        <v>-990</v>
      </c>
      <c r="BC60" s="13">
        <f t="shared" si="17"/>
        <v>-1</v>
      </c>
      <c r="BE60" s="16"/>
      <c r="BF60" s="15" t="s">
        <v>5</v>
      </c>
      <c r="BG60" s="12">
        <v>2</v>
      </c>
      <c r="BH60" s="14">
        <v>7080</v>
      </c>
      <c r="BI60" s="12">
        <f t="shared" si="42"/>
        <v>2</v>
      </c>
      <c r="BJ60" s="14">
        <f t="shared" si="43"/>
        <v>7080</v>
      </c>
      <c r="BK60" s="13" t="e">
        <f t="shared" si="44"/>
        <v>#DIV/0!</v>
      </c>
      <c r="BM60" s="16"/>
      <c r="BN60" s="15" t="s">
        <v>5</v>
      </c>
      <c r="BO60" s="12">
        <v>2</v>
      </c>
      <c r="BP60" s="14">
        <v>11180</v>
      </c>
      <c r="BQ60" s="12">
        <f t="shared" si="21"/>
        <v>0</v>
      </c>
      <c r="BR60" s="14">
        <f t="shared" si="22"/>
        <v>4100</v>
      </c>
      <c r="BS60" s="13">
        <f t="shared" si="23"/>
        <v>0.57909604519774016</v>
      </c>
      <c r="BU60" s="16"/>
      <c r="BV60" s="15" t="s">
        <v>5</v>
      </c>
      <c r="BW60" s="12">
        <v>0</v>
      </c>
      <c r="BX60" s="14">
        <v>0</v>
      </c>
      <c r="BY60" s="12">
        <f t="shared" si="24"/>
        <v>-2</v>
      </c>
      <c r="BZ60" s="14">
        <f t="shared" si="25"/>
        <v>-11180</v>
      </c>
      <c r="CA60" s="13">
        <f t="shared" si="26"/>
        <v>-1</v>
      </c>
      <c r="CC60" s="16"/>
      <c r="CD60" s="15" t="s">
        <v>5</v>
      </c>
      <c r="CE60" s="12">
        <v>3</v>
      </c>
      <c r="CF60" s="14">
        <v>13870</v>
      </c>
      <c r="CG60" s="12">
        <f t="shared" si="27"/>
        <v>3</v>
      </c>
      <c r="CH60" s="14">
        <f t="shared" si="28"/>
        <v>13870</v>
      </c>
      <c r="CI60" s="13" t="e">
        <f t="shared" si="29"/>
        <v>#DIV/0!</v>
      </c>
      <c r="CK60" s="16"/>
      <c r="CL60" s="15" t="s">
        <v>5</v>
      </c>
      <c r="CM60" s="12">
        <v>1</v>
      </c>
      <c r="CN60" s="14">
        <v>7290</v>
      </c>
      <c r="CO60" s="12">
        <f t="shared" si="30"/>
        <v>-2</v>
      </c>
      <c r="CP60" s="14">
        <f t="shared" si="31"/>
        <v>-6580</v>
      </c>
      <c r="CQ60" s="13">
        <f t="shared" si="32"/>
        <v>-0.47440519105984136</v>
      </c>
      <c r="CS60" s="16"/>
      <c r="CT60" s="15" t="s">
        <v>5</v>
      </c>
      <c r="CU60" s="12">
        <v>5</v>
      </c>
      <c r="CV60" s="14">
        <v>19350</v>
      </c>
      <c r="CW60" s="12">
        <f t="shared" si="33"/>
        <v>4</v>
      </c>
      <c r="CX60" s="14">
        <f t="shared" si="34"/>
        <v>12060</v>
      </c>
      <c r="CY60" s="13">
        <f t="shared" si="35"/>
        <v>1.654320987654321</v>
      </c>
    </row>
    <row r="61" spans="1:103" s="12" customFormat="1" ht="20" customHeight="1">
      <c r="A61" s="16"/>
      <c r="B61" s="15" t="s">
        <v>4</v>
      </c>
      <c r="C61" s="12">
        <v>7</v>
      </c>
      <c r="D61" s="14">
        <v>295576.19047616998</v>
      </c>
      <c r="F61" s="14"/>
      <c r="G61" s="13"/>
      <c r="I61" s="16"/>
      <c r="J61" s="15" t="s">
        <v>4</v>
      </c>
      <c r="K61" s="12">
        <v>4</v>
      </c>
      <c r="L61" s="14">
        <v>144623.80952380001</v>
      </c>
      <c r="M61" s="12">
        <f t="shared" si="54"/>
        <v>-3</v>
      </c>
      <c r="N61" s="14">
        <f t="shared" si="55"/>
        <v>-150952.38095236997</v>
      </c>
      <c r="O61" s="13">
        <f t="shared" si="56"/>
        <v>-0.51070548243140745</v>
      </c>
      <c r="Q61" s="16"/>
      <c r="R61" s="15" t="s">
        <v>4</v>
      </c>
      <c r="S61" s="12">
        <v>4</v>
      </c>
      <c r="T61" s="14">
        <v>136790.47619046</v>
      </c>
      <c r="U61" s="12">
        <f t="shared" si="3"/>
        <v>0</v>
      </c>
      <c r="V61" s="14">
        <f t="shared" si="4"/>
        <v>-7833.3333333400078</v>
      </c>
      <c r="W61" s="13">
        <f t="shared" si="5"/>
        <v>-5.4163511244328798E-2</v>
      </c>
      <c r="Y61" s="16"/>
      <c r="Z61" s="15" t="s">
        <v>4</v>
      </c>
      <c r="AA61" s="12">
        <v>1</v>
      </c>
      <c r="AB61" s="14">
        <v>38000</v>
      </c>
      <c r="AC61" s="12">
        <f t="shared" si="6"/>
        <v>-3</v>
      </c>
      <c r="AD61" s="14">
        <f t="shared" si="7"/>
        <v>-98790.476190460002</v>
      </c>
      <c r="AE61" s="13">
        <f t="shared" si="8"/>
        <v>-0.72220288240614972</v>
      </c>
      <c r="AG61" s="16"/>
      <c r="AH61" s="15" t="s">
        <v>4</v>
      </c>
      <c r="AI61" s="12">
        <v>3</v>
      </c>
      <c r="AJ61" s="14">
        <v>103533.33333333</v>
      </c>
      <c r="AK61" s="12">
        <f t="shared" si="9"/>
        <v>2</v>
      </c>
      <c r="AL61" s="14">
        <f t="shared" si="10"/>
        <v>65533.333333329996</v>
      </c>
      <c r="AM61" s="13">
        <f t="shared" si="11"/>
        <v>1.724561403508684</v>
      </c>
      <c r="AO61" s="16"/>
      <c r="AP61" s="15" t="s">
        <v>4</v>
      </c>
      <c r="AQ61" s="12">
        <v>2</v>
      </c>
      <c r="AR61" s="14">
        <v>75999.999999990003</v>
      </c>
      <c r="AS61" s="12">
        <f t="shared" si="12"/>
        <v>-1</v>
      </c>
      <c r="AT61" s="14">
        <f t="shared" si="13"/>
        <v>-27533.333333339993</v>
      </c>
      <c r="AU61" s="13">
        <f t="shared" si="14"/>
        <v>-0.26593689632975737</v>
      </c>
      <c r="AW61" s="16"/>
      <c r="AX61" s="15" t="s">
        <v>4</v>
      </c>
      <c r="AY61" s="12">
        <v>1</v>
      </c>
      <c r="AZ61" s="14">
        <v>38000</v>
      </c>
      <c r="BA61" s="12">
        <f t="shared" si="15"/>
        <v>-1</v>
      </c>
      <c r="BB61" s="14">
        <f t="shared" si="16"/>
        <v>-37999.999999990003</v>
      </c>
      <c r="BC61" s="13">
        <f t="shared" si="17"/>
        <v>-0.49999999999993422</v>
      </c>
      <c r="BE61" s="16"/>
      <c r="BF61" s="15" t="s">
        <v>4</v>
      </c>
      <c r="BG61" s="12">
        <v>2</v>
      </c>
      <c r="BH61" s="14">
        <v>82666.666666659992</v>
      </c>
      <c r="BI61" s="12">
        <f t="shared" si="42"/>
        <v>1</v>
      </c>
      <c r="BJ61" s="14">
        <f t="shared" si="43"/>
        <v>44666.666666659992</v>
      </c>
      <c r="BK61" s="13">
        <f t="shared" si="44"/>
        <v>1.1754385964910525</v>
      </c>
      <c r="BM61" s="16"/>
      <c r="BN61" s="15" t="s">
        <v>4</v>
      </c>
      <c r="BO61" s="12">
        <v>6</v>
      </c>
      <c r="BP61" s="14">
        <v>226099.99999998999</v>
      </c>
      <c r="BQ61" s="12">
        <f t="shared" si="21"/>
        <v>4</v>
      </c>
      <c r="BR61" s="14">
        <f t="shared" si="22"/>
        <v>143433.33333333</v>
      </c>
      <c r="BS61" s="13">
        <f t="shared" si="23"/>
        <v>1.73508064516139</v>
      </c>
      <c r="BU61" s="16"/>
      <c r="BV61" s="15" t="s">
        <v>4</v>
      </c>
      <c r="BW61" s="12">
        <v>2</v>
      </c>
      <c r="BX61" s="14">
        <v>50285.714285709997</v>
      </c>
      <c r="BY61" s="12">
        <f t="shared" si="24"/>
        <v>-4</v>
      </c>
      <c r="BZ61" s="14">
        <f t="shared" si="25"/>
        <v>-175814.28571427998</v>
      </c>
      <c r="CA61" s="13">
        <f t="shared" si="26"/>
        <v>-0.77759524862577512</v>
      </c>
      <c r="CC61" s="16"/>
      <c r="CD61" s="15" t="s">
        <v>4</v>
      </c>
      <c r="CE61" s="12">
        <v>4</v>
      </c>
      <c r="CF61" s="14">
        <v>132952.38095237</v>
      </c>
      <c r="CG61" s="12">
        <f t="shared" si="27"/>
        <v>2</v>
      </c>
      <c r="CH61" s="14">
        <f t="shared" si="28"/>
        <v>82666.666666660007</v>
      </c>
      <c r="CI61" s="13">
        <f t="shared" si="29"/>
        <v>1.6439393939394018</v>
      </c>
      <c r="CK61" s="16"/>
      <c r="CL61" s="15" t="s">
        <v>4</v>
      </c>
      <c r="CM61" s="12">
        <v>1</v>
      </c>
      <c r="CN61" s="14">
        <v>36100</v>
      </c>
      <c r="CO61" s="12">
        <f t="shared" si="30"/>
        <v>-3</v>
      </c>
      <c r="CP61" s="14">
        <f t="shared" si="31"/>
        <v>-96852.380952370004</v>
      </c>
      <c r="CQ61" s="13">
        <f t="shared" si="32"/>
        <v>-0.72847421203436158</v>
      </c>
      <c r="CS61" s="16"/>
      <c r="CT61" s="15" t="s">
        <v>4</v>
      </c>
      <c r="CU61" s="12">
        <v>1</v>
      </c>
      <c r="CV61" s="14">
        <v>31333.33333333</v>
      </c>
      <c r="CW61" s="12">
        <f t="shared" si="33"/>
        <v>0</v>
      </c>
      <c r="CX61" s="14">
        <f t="shared" si="34"/>
        <v>-4766.6666666700003</v>
      </c>
      <c r="CY61" s="13">
        <f t="shared" si="35"/>
        <v>-0.13204062788559556</v>
      </c>
    </row>
    <row r="62" spans="1:103" s="12" customFormat="1" ht="20" customHeight="1">
      <c r="A62" s="16"/>
      <c r="B62" s="15" t="s">
        <v>3</v>
      </c>
      <c r="C62" s="12">
        <v>35</v>
      </c>
      <c r="D62" s="14">
        <v>608809.52380945999</v>
      </c>
      <c r="F62" s="14"/>
      <c r="G62" s="13"/>
      <c r="I62" s="16"/>
      <c r="J62" s="15" t="s">
        <v>3</v>
      </c>
      <c r="K62" s="12">
        <v>29</v>
      </c>
      <c r="L62" s="14">
        <v>530333.33333328005</v>
      </c>
      <c r="M62" s="12">
        <f t="shared" si="54"/>
        <v>-6</v>
      </c>
      <c r="N62" s="14">
        <f t="shared" si="55"/>
        <v>-78476.190476179938</v>
      </c>
      <c r="O62" s="13">
        <f t="shared" si="56"/>
        <v>-0.12890105592490822</v>
      </c>
      <c r="Q62" s="16"/>
      <c r="R62" s="15" t="s">
        <v>3</v>
      </c>
      <c r="S62" s="12">
        <v>21</v>
      </c>
      <c r="T62" s="14">
        <v>411095.23809518007</v>
      </c>
      <c r="U62" s="12">
        <f t="shared" si="3"/>
        <v>-8</v>
      </c>
      <c r="V62" s="14">
        <f t="shared" si="4"/>
        <v>-119238.09523809998</v>
      </c>
      <c r="W62" s="13">
        <f t="shared" si="5"/>
        <v>-0.22483613181290754</v>
      </c>
      <c r="Y62" s="16"/>
      <c r="Z62" s="15" t="s">
        <v>3</v>
      </c>
      <c r="AA62" s="12">
        <v>15</v>
      </c>
      <c r="AB62" s="14">
        <v>292761.90476186003</v>
      </c>
      <c r="AC62" s="12">
        <f t="shared" si="6"/>
        <v>-6</v>
      </c>
      <c r="AD62" s="14">
        <f t="shared" si="7"/>
        <v>-118333.33333332004</v>
      </c>
      <c r="AE62" s="13">
        <f t="shared" si="8"/>
        <v>-0.28784895169698499</v>
      </c>
      <c r="AG62" s="16"/>
      <c r="AH62" s="15" t="s">
        <v>3</v>
      </c>
      <c r="AI62" s="12">
        <v>10</v>
      </c>
      <c r="AJ62" s="14">
        <v>164761.90476187001</v>
      </c>
      <c r="AK62" s="12">
        <f t="shared" si="9"/>
        <v>-5</v>
      </c>
      <c r="AL62" s="14">
        <f t="shared" si="10"/>
        <v>-127999.99999999002</v>
      </c>
      <c r="AM62" s="13">
        <f t="shared" si="11"/>
        <v>-0.4372153545868902</v>
      </c>
      <c r="AO62" s="16"/>
      <c r="AP62" s="15" t="s">
        <v>3</v>
      </c>
      <c r="AQ62" s="12">
        <v>7</v>
      </c>
      <c r="AR62" s="14">
        <v>91238.095238070004</v>
      </c>
      <c r="AS62" s="12">
        <f t="shared" si="12"/>
        <v>-3</v>
      </c>
      <c r="AT62" s="14">
        <f t="shared" si="13"/>
        <v>-73523.80952380001</v>
      </c>
      <c r="AU62" s="13">
        <f t="shared" si="14"/>
        <v>-0.44624277456651035</v>
      </c>
      <c r="AW62" s="16"/>
      <c r="AX62" s="15" t="s">
        <v>3</v>
      </c>
      <c r="AY62" s="12">
        <v>12</v>
      </c>
      <c r="AZ62" s="14">
        <v>201238.09523807</v>
      </c>
      <c r="BA62" s="12">
        <f t="shared" si="15"/>
        <v>5</v>
      </c>
      <c r="BB62" s="14">
        <f t="shared" si="16"/>
        <v>110000</v>
      </c>
      <c r="BC62" s="13">
        <f t="shared" si="17"/>
        <v>1.2056367432153647</v>
      </c>
      <c r="BE62" s="16"/>
      <c r="BF62" s="15" t="s">
        <v>3</v>
      </c>
      <c r="BG62" s="12">
        <v>12</v>
      </c>
      <c r="BH62" s="14">
        <v>157904.76190473</v>
      </c>
      <c r="BI62" s="12">
        <f t="shared" si="42"/>
        <v>0</v>
      </c>
      <c r="BJ62" s="14">
        <f t="shared" si="43"/>
        <v>-43333.333333340008</v>
      </c>
      <c r="BK62" s="13">
        <f t="shared" si="44"/>
        <v>-0.2153336488405713</v>
      </c>
      <c r="BM62" s="16"/>
      <c r="BN62" s="15" t="s">
        <v>3</v>
      </c>
      <c r="BO62" s="12">
        <v>18</v>
      </c>
      <c r="BP62" s="14">
        <v>301952.38095232996</v>
      </c>
      <c r="BQ62" s="12">
        <f t="shared" si="21"/>
        <v>6</v>
      </c>
      <c r="BR62" s="14">
        <f t="shared" si="22"/>
        <v>144047.61904759996</v>
      </c>
      <c r="BS62" s="13">
        <f t="shared" si="23"/>
        <v>0.91224366706882098</v>
      </c>
      <c r="BU62" s="16"/>
      <c r="BV62" s="15" t="s">
        <v>3</v>
      </c>
      <c r="BW62" s="12">
        <v>14</v>
      </c>
      <c r="BX62" s="14">
        <v>253428.57142852998</v>
      </c>
      <c r="BY62" s="12">
        <f t="shared" si="24"/>
        <v>-4</v>
      </c>
      <c r="BZ62" s="14">
        <f t="shared" si="25"/>
        <v>-48523.809523799981</v>
      </c>
      <c r="CA62" s="13">
        <f t="shared" si="26"/>
        <v>-0.16070020501497739</v>
      </c>
      <c r="CC62" s="16"/>
      <c r="CD62" s="15" t="s">
        <v>3</v>
      </c>
      <c r="CE62" s="12">
        <v>13</v>
      </c>
      <c r="CF62" s="14">
        <v>268761.90476186998</v>
      </c>
      <c r="CG62" s="12">
        <f t="shared" si="27"/>
        <v>-1</v>
      </c>
      <c r="CH62" s="14">
        <f t="shared" si="28"/>
        <v>15333.333333340008</v>
      </c>
      <c r="CI62" s="13">
        <f t="shared" si="29"/>
        <v>6.0503570086469907E-2</v>
      </c>
      <c r="CK62" s="16"/>
      <c r="CL62" s="15" t="s">
        <v>3</v>
      </c>
      <c r="CM62" s="12">
        <v>10</v>
      </c>
      <c r="CN62" s="14">
        <v>158095.23809520999</v>
      </c>
      <c r="CO62" s="12">
        <f t="shared" si="30"/>
        <v>-3</v>
      </c>
      <c r="CP62" s="14">
        <f t="shared" si="31"/>
        <v>-110666.66666665999</v>
      </c>
      <c r="CQ62" s="13">
        <f t="shared" si="32"/>
        <v>-0.4117647058823814</v>
      </c>
      <c r="CS62" s="16"/>
      <c r="CT62" s="15" t="s">
        <v>3</v>
      </c>
      <c r="CU62" s="12">
        <v>11</v>
      </c>
      <c r="CV62" s="14">
        <v>149904.76190473</v>
      </c>
      <c r="CW62" s="12">
        <f t="shared" si="33"/>
        <v>1</v>
      </c>
      <c r="CX62" s="14">
        <f t="shared" si="34"/>
        <v>-8190.4761904799961</v>
      </c>
      <c r="CY62" s="13">
        <f t="shared" si="35"/>
        <v>-5.1807228915695933E-2</v>
      </c>
    </row>
    <row r="63" spans="1:103" s="12" customFormat="1" ht="20" customHeight="1">
      <c r="A63" s="16"/>
      <c r="B63" s="15" t="s">
        <v>2</v>
      </c>
      <c r="C63" s="12">
        <v>59</v>
      </c>
      <c r="D63" s="14">
        <v>2527238.09523803</v>
      </c>
      <c r="F63" s="14"/>
      <c r="G63" s="13"/>
      <c r="I63" s="16"/>
      <c r="J63" s="15" t="s">
        <v>2</v>
      </c>
      <c r="K63" s="12">
        <v>66</v>
      </c>
      <c r="L63" s="14">
        <v>2725142.8571427902</v>
      </c>
      <c r="M63" s="12">
        <f t="shared" si="54"/>
        <v>7</v>
      </c>
      <c r="N63" s="14">
        <f t="shared" si="55"/>
        <v>197904.76190476026</v>
      </c>
      <c r="O63" s="13">
        <f t="shared" si="56"/>
        <v>7.8308712692193111E-2</v>
      </c>
      <c r="Q63" s="16"/>
      <c r="R63" s="15" t="s">
        <v>2</v>
      </c>
      <c r="S63" s="12">
        <v>54</v>
      </c>
      <c r="T63" s="14">
        <v>2164380.9523809301</v>
      </c>
      <c r="U63" s="12">
        <f t="shared" si="3"/>
        <v>-12</v>
      </c>
      <c r="V63" s="14">
        <f t="shared" si="4"/>
        <v>-560761.90476186015</v>
      </c>
      <c r="W63" s="13">
        <f t="shared" si="5"/>
        <v>-0.20577339763750876</v>
      </c>
      <c r="Y63" s="16"/>
      <c r="Z63" s="15" t="s">
        <v>2</v>
      </c>
      <c r="AA63" s="12">
        <v>85</v>
      </c>
      <c r="AB63" s="14">
        <v>3287142.85714282</v>
      </c>
      <c r="AC63" s="12">
        <f t="shared" si="6"/>
        <v>31</v>
      </c>
      <c r="AD63" s="14">
        <f t="shared" si="7"/>
        <v>1122761.9047618899</v>
      </c>
      <c r="AE63" s="13">
        <f t="shared" si="8"/>
        <v>0.51874504972278301</v>
      </c>
      <c r="AG63" s="16"/>
      <c r="AH63" s="15" t="s">
        <v>2</v>
      </c>
      <c r="AI63" s="12">
        <v>73</v>
      </c>
      <c r="AJ63" s="14">
        <v>2648285.7142856801</v>
      </c>
      <c r="AK63" s="12">
        <f t="shared" si="9"/>
        <v>-12</v>
      </c>
      <c r="AL63" s="14">
        <f t="shared" si="10"/>
        <v>-638857.14285713993</v>
      </c>
      <c r="AM63" s="13">
        <f t="shared" si="11"/>
        <v>-0.19435028248587702</v>
      </c>
      <c r="AO63" s="16"/>
      <c r="AP63" s="15" t="s">
        <v>2</v>
      </c>
      <c r="AQ63" s="12">
        <v>59</v>
      </c>
      <c r="AR63" s="14">
        <v>2314857.1428570999</v>
      </c>
      <c r="AS63" s="12">
        <f t="shared" si="12"/>
        <v>-14</v>
      </c>
      <c r="AT63" s="14">
        <f t="shared" si="13"/>
        <v>-333428.57142858021</v>
      </c>
      <c r="AU63" s="13">
        <f t="shared" si="14"/>
        <v>-0.12590354946596674</v>
      </c>
      <c r="AW63" s="16"/>
      <c r="AX63" s="15" t="s">
        <v>2</v>
      </c>
      <c r="AY63" s="12">
        <v>54</v>
      </c>
      <c r="AZ63" s="14">
        <v>1914857.1428570999</v>
      </c>
      <c r="BA63" s="12">
        <f t="shared" si="15"/>
        <v>-5</v>
      </c>
      <c r="BB63" s="14">
        <f t="shared" si="16"/>
        <v>-400000</v>
      </c>
      <c r="BC63" s="13">
        <f t="shared" si="17"/>
        <v>-0.17279684028635225</v>
      </c>
      <c r="BE63" s="16"/>
      <c r="BF63" s="15" t="s">
        <v>2</v>
      </c>
      <c r="BG63" s="12">
        <v>59</v>
      </c>
      <c r="BH63" s="14">
        <v>2176285.7142856899</v>
      </c>
      <c r="BI63" s="12">
        <f t="shared" si="42"/>
        <v>5</v>
      </c>
      <c r="BJ63" s="14">
        <f t="shared" si="43"/>
        <v>261428.57142858999</v>
      </c>
      <c r="BK63" s="13">
        <f t="shared" si="44"/>
        <v>0.13652641002687041</v>
      </c>
      <c r="BM63" s="16"/>
      <c r="BN63" s="15" t="s">
        <v>2</v>
      </c>
      <c r="BO63" s="12">
        <v>44</v>
      </c>
      <c r="BP63" s="14">
        <v>1583428.5714285402</v>
      </c>
      <c r="BQ63" s="12">
        <f t="shared" si="21"/>
        <v>-15</v>
      </c>
      <c r="BR63" s="14">
        <f t="shared" si="22"/>
        <v>-592857.14285714971</v>
      </c>
      <c r="BS63" s="13">
        <f t="shared" si="23"/>
        <v>-0.27241696205855942</v>
      </c>
      <c r="BU63" s="16"/>
      <c r="BV63" s="15" t="s">
        <v>2</v>
      </c>
      <c r="BW63" s="12">
        <v>34</v>
      </c>
      <c r="BX63" s="14">
        <v>1234655.2380952002</v>
      </c>
      <c r="BY63" s="12">
        <f t="shared" si="24"/>
        <v>-10</v>
      </c>
      <c r="BZ63" s="14">
        <f t="shared" si="25"/>
        <v>-348773.33333334001</v>
      </c>
      <c r="CA63" s="13">
        <f t="shared" si="26"/>
        <v>-0.22026464573560342</v>
      </c>
      <c r="CC63" s="16"/>
      <c r="CD63" s="15" t="s">
        <v>2</v>
      </c>
      <c r="CE63" s="12">
        <v>49</v>
      </c>
      <c r="CF63" s="14">
        <v>1863083.8095237601</v>
      </c>
      <c r="CG63" s="12">
        <f t="shared" si="27"/>
        <v>15</v>
      </c>
      <c r="CH63" s="14">
        <f t="shared" si="28"/>
        <v>628428.57142855995</v>
      </c>
      <c r="CI63" s="13">
        <f t="shared" si="29"/>
        <v>0.50899113536997276</v>
      </c>
      <c r="CK63" s="16"/>
      <c r="CL63" s="15" t="s">
        <v>2</v>
      </c>
      <c r="CM63" s="12">
        <v>28</v>
      </c>
      <c r="CN63" s="14">
        <v>1082803.8095237799</v>
      </c>
      <c r="CO63" s="12">
        <f t="shared" si="30"/>
        <v>-21</v>
      </c>
      <c r="CP63" s="14">
        <f t="shared" si="31"/>
        <v>-780279.99999998021</v>
      </c>
      <c r="CQ63" s="13">
        <f t="shared" si="32"/>
        <v>-0.41881100356909584</v>
      </c>
      <c r="CS63" s="16"/>
      <c r="CT63" s="15" t="s">
        <v>2</v>
      </c>
      <c r="CU63" s="12">
        <v>39</v>
      </c>
      <c r="CV63" s="14">
        <v>1370643.8095237701</v>
      </c>
      <c r="CW63" s="12">
        <f t="shared" si="33"/>
        <v>11</v>
      </c>
      <c r="CX63" s="14">
        <f t="shared" si="34"/>
        <v>287839.99999999022</v>
      </c>
      <c r="CY63" s="13">
        <f t="shared" si="35"/>
        <v>0.26582839612153103</v>
      </c>
    </row>
    <row r="64" spans="1:103" s="1" customFormat="1" ht="20" customHeight="1">
      <c r="A64" s="11" t="s">
        <v>1</v>
      </c>
      <c r="B64" s="11"/>
      <c r="C64" s="10">
        <v>489</v>
      </c>
      <c r="D64" s="9">
        <v>4414727.1428561099</v>
      </c>
      <c r="E64" s="29"/>
      <c r="F64" s="30"/>
      <c r="G64" s="31"/>
      <c r="I64" s="11" t="s">
        <v>1</v>
      </c>
      <c r="J64" s="11"/>
      <c r="K64" s="10">
        <v>429</v>
      </c>
      <c r="L64" s="9">
        <v>4128597.6190466601</v>
      </c>
      <c r="M64" s="10">
        <f t="shared" si="54"/>
        <v>-60</v>
      </c>
      <c r="N64" s="9">
        <f t="shared" si="55"/>
        <v>-286129.52380944975</v>
      </c>
      <c r="O64" s="8">
        <f t="shared" si="56"/>
        <v>-6.4812504725793335E-2</v>
      </c>
      <c r="Q64" s="11" t="s">
        <v>1</v>
      </c>
      <c r="R64" s="11"/>
      <c r="S64" s="10">
        <v>396</v>
      </c>
      <c r="T64" s="9">
        <v>3454695.7142848205</v>
      </c>
      <c r="U64" s="10">
        <f t="shared" si="3"/>
        <v>-33</v>
      </c>
      <c r="V64" s="9">
        <f t="shared" si="4"/>
        <v>-673901.90476183966</v>
      </c>
      <c r="W64" s="8">
        <f t="shared" si="5"/>
        <v>-0.16322779959298897</v>
      </c>
      <c r="Y64" s="11" t="s">
        <v>1</v>
      </c>
      <c r="Z64" s="11"/>
      <c r="AA64" s="10">
        <v>421</v>
      </c>
      <c r="AB64" s="9">
        <v>4111764.2857134901</v>
      </c>
      <c r="AC64" s="10">
        <f t="shared" si="6"/>
        <v>25</v>
      </c>
      <c r="AD64" s="9">
        <f t="shared" si="7"/>
        <v>657068.57142866962</v>
      </c>
      <c r="AE64" s="8">
        <f t="shared" si="8"/>
        <v>0.19019578734872566</v>
      </c>
      <c r="AG64" s="11" t="s">
        <v>1</v>
      </c>
      <c r="AH64" s="11"/>
      <c r="AI64" s="10">
        <v>379</v>
      </c>
      <c r="AJ64" s="9">
        <v>3338988.5714278203</v>
      </c>
      <c r="AK64" s="10">
        <f t="shared" si="9"/>
        <v>-42</v>
      </c>
      <c r="AL64" s="9">
        <f t="shared" si="10"/>
        <v>-772775.71428566985</v>
      </c>
      <c r="AM64" s="8">
        <f t="shared" si="11"/>
        <v>-0.18794261066246279</v>
      </c>
      <c r="AO64" s="11" t="s">
        <v>1</v>
      </c>
      <c r="AP64" s="11"/>
      <c r="AQ64" s="10">
        <v>340</v>
      </c>
      <c r="AR64" s="9">
        <v>2994138.5714277597</v>
      </c>
      <c r="AS64" s="10">
        <f t="shared" si="12"/>
        <v>-39</v>
      </c>
      <c r="AT64" s="9">
        <f t="shared" si="13"/>
        <v>-344850.00000006054</v>
      </c>
      <c r="AU64" s="8">
        <f t="shared" si="14"/>
        <v>-0.10327977847872524</v>
      </c>
      <c r="AW64" s="11" t="s">
        <v>1</v>
      </c>
      <c r="AX64" s="11"/>
      <c r="AY64" s="10">
        <v>353</v>
      </c>
      <c r="AZ64" s="9">
        <v>2660645.7142849099</v>
      </c>
      <c r="BA64" s="10">
        <f t="shared" si="15"/>
        <v>13</v>
      </c>
      <c r="BB64" s="9">
        <f t="shared" si="16"/>
        <v>-333492.85714284983</v>
      </c>
      <c r="BC64" s="8">
        <f t="shared" si="17"/>
        <v>-0.11138190474057559</v>
      </c>
      <c r="BE64" s="11" t="s">
        <v>1</v>
      </c>
      <c r="BF64" s="11"/>
      <c r="BG64" s="10">
        <v>408</v>
      </c>
      <c r="BH64" s="9">
        <v>3201243.8095229696</v>
      </c>
      <c r="BI64" s="29">
        <f t="shared" si="42"/>
        <v>55</v>
      </c>
      <c r="BJ64" s="30">
        <f t="shared" si="43"/>
        <v>540598.09523805976</v>
      </c>
      <c r="BK64" s="31">
        <f t="shared" si="44"/>
        <v>0.20318304400154003</v>
      </c>
      <c r="BM64" s="11" t="s">
        <v>1</v>
      </c>
      <c r="BN64" s="11"/>
      <c r="BO64" s="10">
        <v>394</v>
      </c>
      <c r="BP64" s="9">
        <v>2802288.5714277299</v>
      </c>
      <c r="BQ64" s="29">
        <f t="shared" si="21"/>
        <v>-14</v>
      </c>
      <c r="BR64" s="30">
        <f t="shared" si="22"/>
        <v>-398955.23809523974</v>
      </c>
      <c r="BS64" s="31">
        <f t="shared" si="23"/>
        <v>-0.12462507132647596</v>
      </c>
      <c r="BU64" s="11" t="s">
        <v>1</v>
      </c>
      <c r="BV64" s="11"/>
      <c r="BW64" s="10">
        <v>298</v>
      </c>
      <c r="BX64" s="9">
        <v>2040874.2857135702</v>
      </c>
      <c r="BY64" s="29">
        <f t="shared" si="24"/>
        <v>-96</v>
      </c>
      <c r="BZ64" s="30">
        <f t="shared" si="25"/>
        <v>-761414.28571415972</v>
      </c>
      <c r="CA64" s="31">
        <f t="shared" si="26"/>
        <v>-0.27171159083242769</v>
      </c>
      <c r="CC64" s="11" t="s">
        <v>1</v>
      </c>
      <c r="CD64" s="11"/>
      <c r="CE64" s="10">
        <v>371</v>
      </c>
      <c r="CF64" s="9">
        <v>2949710.95238011</v>
      </c>
      <c r="CG64" s="29">
        <f t="shared" si="27"/>
        <v>73</v>
      </c>
      <c r="CH64" s="30">
        <f t="shared" si="28"/>
        <v>908836.66666653985</v>
      </c>
      <c r="CI64" s="31">
        <f t="shared" si="29"/>
        <v>0.44531731965488247</v>
      </c>
      <c r="CK64" s="11" t="s">
        <v>1</v>
      </c>
      <c r="CL64" s="11"/>
      <c r="CM64" s="10">
        <v>298</v>
      </c>
      <c r="CN64" s="9">
        <v>1811939.52380887</v>
      </c>
      <c r="CO64" s="29">
        <f t="shared" si="30"/>
        <v>-73</v>
      </c>
      <c r="CP64" s="30">
        <f t="shared" si="31"/>
        <v>-1137771.42857124</v>
      </c>
      <c r="CQ64" s="31">
        <f t="shared" si="32"/>
        <v>-0.38572302403161801</v>
      </c>
      <c r="CS64" s="11" t="s">
        <v>1</v>
      </c>
      <c r="CT64" s="11"/>
      <c r="CU64" s="10">
        <v>351</v>
      </c>
      <c r="CV64" s="9">
        <v>2153820.4761897</v>
      </c>
      <c r="CW64" s="29">
        <f t="shared" si="33"/>
        <v>53</v>
      </c>
      <c r="CX64" s="30">
        <f t="shared" si="34"/>
        <v>341880.95238082996</v>
      </c>
      <c r="CY64" s="31">
        <f t="shared" si="35"/>
        <v>0.18868231962961077</v>
      </c>
    </row>
    <row r="65" spans="1:103" s="1" customFormat="1" ht="20" customHeight="1">
      <c r="A65" s="5" t="s">
        <v>0</v>
      </c>
      <c r="B65" s="5"/>
      <c r="C65" s="4">
        <v>2987</v>
      </c>
      <c r="D65" s="3">
        <v>28440384.285708785</v>
      </c>
      <c r="E65" s="7"/>
      <c r="F65" s="6"/>
      <c r="G65" s="32"/>
      <c r="I65" s="5" t="s">
        <v>0</v>
      </c>
      <c r="J65" s="5"/>
      <c r="K65" s="4">
        <v>3006</v>
      </c>
      <c r="L65" s="3">
        <v>24485272.857136972</v>
      </c>
      <c r="M65" s="4">
        <f t="shared" si="54"/>
        <v>19</v>
      </c>
      <c r="N65" s="3">
        <f t="shared" si="55"/>
        <v>-3955111.4285718128</v>
      </c>
      <c r="O65" s="2">
        <f t="shared" si="56"/>
        <v>-0.13906673654052015</v>
      </c>
      <c r="Q65" s="5" t="s">
        <v>0</v>
      </c>
      <c r="R65" s="5"/>
      <c r="S65" s="4">
        <v>3553</v>
      </c>
      <c r="T65" s="3">
        <v>47640380.47618521</v>
      </c>
      <c r="U65" s="4">
        <f t="shared" si="3"/>
        <v>547</v>
      </c>
      <c r="V65" s="3">
        <f t="shared" si="4"/>
        <v>23155107.619048238</v>
      </c>
      <c r="W65" s="2">
        <f t="shared" si="5"/>
        <v>0.94567488604885941</v>
      </c>
      <c r="Y65" s="5" t="s">
        <v>0</v>
      </c>
      <c r="Z65" s="5"/>
      <c r="AA65" s="4">
        <v>3622</v>
      </c>
      <c r="AB65" s="3">
        <v>44305820.952375174</v>
      </c>
      <c r="AC65" s="4">
        <f t="shared" si="6"/>
        <v>69</v>
      </c>
      <c r="AD65" s="3">
        <f t="shared" si="7"/>
        <v>-3334559.5238100365</v>
      </c>
      <c r="AE65" s="2">
        <f t="shared" si="8"/>
        <v>-6.9994393211803549E-2</v>
      </c>
      <c r="AG65" s="5" t="s">
        <v>0</v>
      </c>
      <c r="AH65" s="5"/>
      <c r="AI65" s="4">
        <v>3055</v>
      </c>
      <c r="AJ65" s="3">
        <v>40394125.238090411</v>
      </c>
      <c r="AK65" s="4">
        <f t="shared" si="9"/>
        <v>-567</v>
      </c>
      <c r="AL65" s="3">
        <f t="shared" si="10"/>
        <v>-3911695.7142847627</v>
      </c>
      <c r="AM65" s="2">
        <f t="shared" si="11"/>
        <v>-8.828852801282E-2</v>
      </c>
      <c r="AO65" s="5" t="s">
        <v>0</v>
      </c>
      <c r="AP65" s="5"/>
      <c r="AQ65" s="4">
        <v>3218</v>
      </c>
      <c r="AR65" s="3">
        <v>40392109.047613889</v>
      </c>
      <c r="AS65" s="4">
        <f t="shared" si="12"/>
        <v>163</v>
      </c>
      <c r="AT65" s="3">
        <f t="shared" si="13"/>
        <v>-2016.1904765218496</v>
      </c>
      <c r="AU65" s="2">
        <f t="shared" si="14"/>
        <v>-4.991296295285643E-5</v>
      </c>
      <c r="AW65" s="5" t="s">
        <v>0</v>
      </c>
      <c r="AX65" s="5"/>
      <c r="AY65" s="4">
        <v>3031</v>
      </c>
      <c r="AZ65" s="3">
        <v>30664483.809518579</v>
      </c>
      <c r="BA65" s="4">
        <f t="shared" si="15"/>
        <v>-187</v>
      </c>
      <c r="BB65" s="3">
        <f t="shared" si="16"/>
        <v>-9727625.2380953096</v>
      </c>
      <c r="BC65" s="2">
        <f t="shared" si="17"/>
        <v>-0.24082984195325044</v>
      </c>
      <c r="BE65" s="5" t="s">
        <v>0</v>
      </c>
      <c r="BF65" s="5"/>
      <c r="BG65" s="4">
        <v>3400</v>
      </c>
      <c r="BH65" s="3">
        <v>35040738.095232792</v>
      </c>
      <c r="BI65" s="7">
        <f t="shared" si="42"/>
        <v>369</v>
      </c>
      <c r="BJ65" s="6">
        <f t="shared" si="43"/>
        <v>4376254.2857142128</v>
      </c>
      <c r="BK65" s="32">
        <f t="shared" si="44"/>
        <v>0.14271410250694574</v>
      </c>
      <c r="BM65" s="5" t="s">
        <v>0</v>
      </c>
      <c r="BN65" s="5"/>
      <c r="BO65" s="4">
        <v>2839</v>
      </c>
      <c r="BP65" s="3">
        <v>25850566.666661892</v>
      </c>
      <c r="BQ65" s="7">
        <f t="shared" si="21"/>
        <v>-561</v>
      </c>
      <c r="BR65" s="6">
        <f t="shared" si="22"/>
        <v>-9190171.4285709001</v>
      </c>
      <c r="BS65" s="32">
        <f t="shared" si="23"/>
        <v>-0.26227105729320244</v>
      </c>
      <c r="BU65" s="5" t="s">
        <v>0</v>
      </c>
      <c r="BV65" s="5"/>
      <c r="BW65" s="4">
        <v>2792</v>
      </c>
      <c r="BX65" s="3">
        <v>28543174.285709437</v>
      </c>
      <c r="BY65" s="7">
        <f t="shared" si="24"/>
        <v>-47</v>
      </c>
      <c r="BZ65" s="6">
        <f t="shared" si="25"/>
        <v>2692607.6190475449</v>
      </c>
      <c r="CA65" s="32">
        <f t="shared" si="26"/>
        <v>0.10416048722522042</v>
      </c>
      <c r="CC65" s="5" t="s">
        <v>0</v>
      </c>
      <c r="CD65" s="5"/>
      <c r="CE65" s="4">
        <v>3003</v>
      </c>
      <c r="CF65" s="3">
        <v>29198356.666661449</v>
      </c>
      <c r="CG65" s="7">
        <f t="shared" si="27"/>
        <v>211</v>
      </c>
      <c r="CH65" s="6">
        <f t="shared" si="28"/>
        <v>655182.38095201179</v>
      </c>
      <c r="CI65" s="32">
        <f t="shared" si="29"/>
        <v>2.2954082625632796E-2</v>
      </c>
      <c r="CK65" s="5" t="s">
        <v>0</v>
      </c>
      <c r="CL65" s="5"/>
      <c r="CM65" s="4">
        <v>2445</v>
      </c>
      <c r="CN65" s="3">
        <v>21316737.142852888</v>
      </c>
      <c r="CO65" s="7">
        <f t="shared" si="30"/>
        <v>-558</v>
      </c>
      <c r="CP65" s="6">
        <f t="shared" si="31"/>
        <v>-7881619.5238085613</v>
      </c>
      <c r="CQ65" s="32">
        <f t="shared" si="32"/>
        <v>-0.26993366831523635</v>
      </c>
      <c r="CS65" s="5" t="s">
        <v>0</v>
      </c>
      <c r="CT65" s="5"/>
      <c r="CU65" s="4">
        <v>2939</v>
      </c>
      <c r="CV65" s="3">
        <v>27710409.047613926</v>
      </c>
      <c r="CW65" s="7">
        <f t="shared" si="33"/>
        <v>494</v>
      </c>
      <c r="CX65" s="6">
        <f t="shared" si="34"/>
        <v>6393671.9047610387</v>
      </c>
      <c r="CY65" s="32">
        <f t="shared" si="35"/>
        <v>0.29993670522436028</v>
      </c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7" operator="containsText" id="{84E91190-11E8-AE4A-9A8E-E0B241655290}">
            <xm:f>NOT(ISERROR(SEARCH("-",E7)))</xm:f>
            <xm:f>"-"</xm:f>
            <x14:dxf>
              <font>
                <color rgb="FFFF0000"/>
              </font>
            </x14:dxf>
          </x14:cfRule>
          <xm:sqref>E7:G65</xm:sqref>
        </x14:conditionalFormatting>
        <x14:conditionalFormatting xmlns:xm="http://schemas.microsoft.com/office/excel/2006/main">
          <x14:cfRule type="containsText" priority="64" operator="containsText" id="{60840A7F-E021-4B40-B286-D13634467BA2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53" operator="containsText" id="{96F4512B-498A-3E44-B11A-3104E93335EF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42" operator="containsText" id="{59A196DB-3B52-FC49-B067-A760A3E265FD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31" operator="containsText" id="{CBEC2621-80C7-C843-831D-784A61EBAE2F}">
            <xm:f>NOT(ISERROR(SEARCH("-",AK5)))</xm:f>
            <xm:f>"-"</xm:f>
            <x14:dxf>
              <font>
                <color rgb="FFFF0000"/>
              </font>
            </x14:dxf>
          </x14:cfRule>
          <xm:sqref>AK5:AM65</xm:sqref>
        </x14:conditionalFormatting>
        <x14:conditionalFormatting xmlns:xm="http://schemas.microsoft.com/office/excel/2006/main">
          <x14:cfRule type="containsText" priority="20" operator="containsText" id="{D62FF824-945D-FB42-AE3E-9595C55730D7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9" operator="containsText" id="{5770E50C-855E-B144-A816-CD9AC490993E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6" operator="containsText" id="{6AB50C64-405B-B04E-92D0-54759F295C03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5" operator="containsText" id="{C8A3EFC3-B895-0845-A11B-C21B6413863E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4" operator="containsText" id="{F92DB01E-9288-5849-81E4-35B4E2C95774}">
            <xm:f>NOT(ISERROR(SEARCH("-",BY5)))</xm:f>
            <xm:f>"-"</xm:f>
            <x14:dxf>
              <font>
                <color rgb="FFFF0000"/>
              </font>
            </x14:dxf>
          </x14:cfRule>
          <xm:sqref>BY5:CA65</xm:sqref>
        </x14:conditionalFormatting>
        <x14:conditionalFormatting xmlns:xm="http://schemas.microsoft.com/office/excel/2006/main">
          <x14:cfRule type="containsText" priority="3" operator="containsText" id="{DDBF6E41-C389-2344-92BB-6A5E3B3BC008}">
            <xm:f>NOT(ISERROR(SEARCH("-",CG5)))</xm:f>
            <xm:f>"-"</xm:f>
            <x14:dxf>
              <font>
                <color rgb="FFFF0000"/>
              </font>
            </x14:dxf>
          </x14:cfRule>
          <xm:sqref>CG5:CI65</xm:sqref>
        </x14:conditionalFormatting>
        <x14:conditionalFormatting xmlns:xm="http://schemas.microsoft.com/office/excel/2006/main">
          <x14:cfRule type="containsText" priority="2" operator="containsText" id="{00C895F4-D5E3-F04E-93CB-E795A6DC8C2F}">
            <xm:f>NOT(ISERROR(SEARCH("-",CO5)))</xm:f>
            <xm:f>"-"</xm:f>
            <x14:dxf>
              <font>
                <color rgb="FFFF0000"/>
              </font>
            </x14:dxf>
          </x14:cfRule>
          <xm:sqref>CO5:CQ65</xm:sqref>
        </x14:conditionalFormatting>
        <x14:conditionalFormatting xmlns:xm="http://schemas.microsoft.com/office/excel/2006/main">
          <x14:cfRule type="containsText" priority="1" operator="containsText" id="{4126E041-CCDA-FB44-8F91-ACB733D36FB3}">
            <xm:f>NOT(ISERROR(SEARCH("-",CW5)))</xm:f>
            <xm:f>"-"</xm:f>
            <x14:dxf>
              <font>
                <color rgb="FFFF0000"/>
              </font>
            </x14:dxf>
          </x14:cfRule>
          <xm:sqref>CW5:CY65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2025-12-29T07:30:45Z</dcterms:modified>
</cp:coreProperties>
</file>