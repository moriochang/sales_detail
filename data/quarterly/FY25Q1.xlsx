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orio/Downloads/26Q1/"/>
    </mc:Choice>
  </mc:AlternateContent>
  <xr:revisionPtr revIDLastSave="0" documentId="13_ncr:1_{12E31C82-730F-8046-B85D-6843DFFDA6B6}" xr6:coauthVersionLast="47" xr6:coauthVersionMax="47" xr10:uidLastSave="{00000000-0000-0000-0000-000000000000}"/>
  <bookViews>
    <workbookView xWindow="0" yWindow="700" windowWidth="34200" windowHeight="20140" xr2:uid="{021FACC0-6583-9245-81B4-0A7BE4D712CF}"/>
  </bookViews>
  <sheets>
    <sheet name="25Q1T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G54" i="4" l="1"/>
  <c r="CO54" i="4"/>
  <c r="CG53" i="4"/>
  <c r="CO53" i="4"/>
  <c r="CW54" i="4"/>
  <c r="CW53" i="4"/>
  <c r="M7" i="4"/>
  <c r="N7" i="4"/>
  <c r="O7" i="4"/>
  <c r="U7" i="4"/>
  <c r="V7" i="4"/>
  <c r="W7" i="4"/>
  <c r="M8" i="4"/>
  <c r="N8" i="4"/>
  <c r="O8" i="4"/>
  <c r="U8" i="4"/>
  <c r="V8" i="4"/>
  <c r="W8" i="4"/>
  <c r="M9" i="4"/>
  <c r="N9" i="4"/>
  <c r="O9" i="4"/>
  <c r="U9" i="4"/>
  <c r="V9" i="4"/>
  <c r="W9" i="4"/>
  <c r="M10" i="4"/>
  <c r="N10" i="4"/>
  <c r="O10" i="4"/>
  <c r="U10" i="4"/>
  <c r="V10" i="4"/>
  <c r="W10" i="4"/>
  <c r="M11" i="4"/>
  <c r="N11" i="4"/>
  <c r="O11" i="4"/>
  <c r="U11" i="4"/>
  <c r="V11" i="4"/>
  <c r="W11" i="4"/>
  <c r="M12" i="4"/>
  <c r="N12" i="4"/>
  <c r="O12" i="4"/>
  <c r="U12" i="4"/>
  <c r="V12" i="4"/>
  <c r="W12" i="4"/>
  <c r="M13" i="4"/>
  <c r="N13" i="4"/>
  <c r="O13" i="4"/>
  <c r="U13" i="4"/>
  <c r="V13" i="4"/>
  <c r="W13" i="4"/>
  <c r="M14" i="4"/>
  <c r="N14" i="4"/>
  <c r="O14" i="4"/>
  <c r="U14" i="4"/>
  <c r="V14" i="4"/>
  <c r="W14" i="4"/>
  <c r="M15" i="4"/>
  <c r="N15" i="4"/>
  <c r="O15" i="4"/>
  <c r="U15" i="4"/>
  <c r="V15" i="4"/>
  <c r="W15" i="4"/>
  <c r="M16" i="4"/>
  <c r="N16" i="4"/>
  <c r="O16" i="4"/>
  <c r="U16" i="4"/>
  <c r="V16" i="4"/>
  <c r="W16" i="4"/>
  <c r="M19" i="4"/>
  <c r="N19" i="4"/>
  <c r="O19" i="4"/>
  <c r="U19" i="4"/>
  <c r="V19" i="4"/>
  <c r="W19" i="4"/>
  <c r="M20" i="4"/>
  <c r="N20" i="4"/>
  <c r="O20" i="4"/>
  <c r="U20" i="4"/>
  <c r="V20" i="4"/>
  <c r="W20" i="4"/>
  <c r="M21" i="4"/>
  <c r="N21" i="4"/>
  <c r="O21" i="4"/>
  <c r="U21" i="4"/>
  <c r="V21" i="4"/>
  <c r="W21" i="4"/>
  <c r="M22" i="4"/>
  <c r="N22" i="4"/>
  <c r="O22" i="4"/>
  <c r="U22" i="4"/>
  <c r="V22" i="4"/>
  <c r="W22" i="4"/>
  <c r="M23" i="4"/>
  <c r="N23" i="4"/>
  <c r="O23" i="4"/>
  <c r="U23" i="4"/>
  <c r="V23" i="4"/>
  <c r="W23" i="4"/>
  <c r="M24" i="4"/>
  <c r="N24" i="4"/>
  <c r="O24" i="4"/>
  <c r="U24" i="4"/>
  <c r="V24" i="4"/>
  <c r="W24" i="4"/>
  <c r="M25" i="4"/>
  <c r="N25" i="4"/>
  <c r="O25" i="4"/>
  <c r="U25" i="4"/>
  <c r="V25" i="4"/>
  <c r="W25" i="4"/>
  <c r="M26" i="4"/>
  <c r="N26" i="4"/>
  <c r="O26" i="4"/>
  <c r="U26" i="4"/>
  <c r="V26" i="4"/>
  <c r="W26" i="4"/>
  <c r="M27" i="4"/>
  <c r="N27" i="4"/>
  <c r="O27" i="4"/>
  <c r="U27" i="4"/>
  <c r="V27" i="4"/>
  <c r="W27" i="4"/>
  <c r="M28" i="4"/>
  <c r="N28" i="4"/>
  <c r="O28" i="4"/>
  <c r="U28" i="4"/>
  <c r="V28" i="4"/>
  <c r="W28" i="4"/>
  <c r="M31" i="4"/>
  <c r="N31" i="4"/>
  <c r="O31" i="4"/>
  <c r="U31" i="4"/>
  <c r="V31" i="4"/>
  <c r="W31" i="4"/>
  <c r="M32" i="4"/>
  <c r="N32" i="4"/>
  <c r="O32" i="4"/>
  <c r="U32" i="4"/>
  <c r="V32" i="4"/>
  <c r="W32" i="4"/>
  <c r="M33" i="4"/>
  <c r="N33" i="4"/>
  <c r="O33" i="4"/>
  <c r="U33" i="4"/>
  <c r="V33" i="4"/>
  <c r="W33" i="4"/>
  <c r="M34" i="4"/>
  <c r="N34" i="4"/>
  <c r="O34" i="4"/>
  <c r="U34" i="4"/>
  <c r="V34" i="4"/>
  <c r="W34" i="4"/>
  <c r="M35" i="4"/>
  <c r="N35" i="4"/>
  <c r="O35" i="4"/>
  <c r="U35" i="4"/>
  <c r="V35" i="4"/>
  <c r="W35" i="4"/>
  <c r="M36" i="4"/>
  <c r="N36" i="4"/>
  <c r="O36" i="4"/>
  <c r="U36" i="4"/>
  <c r="V36" i="4"/>
  <c r="W36" i="4"/>
  <c r="M37" i="4"/>
  <c r="N37" i="4"/>
  <c r="O37" i="4"/>
  <c r="U37" i="4"/>
  <c r="V37" i="4"/>
  <c r="W37" i="4"/>
  <c r="M38" i="4"/>
  <c r="N38" i="4"/>
  <c r="O38" i="4"/>
  <c r="U38" i="4"/>
  <c r="V38" i="4"/>
  <c r="W38" i="4"/>
  <c r="M39" i="4"/>
  <c r="N39" i="4"/>
  <c r="O39" i="4"/>
  <c r="U39" i="4"/>
  <c r="V39" i="4"/>
  <c r="W39" i="4"/>
  <c r="M40" i="4"/>
  <c r="N40" i="4"/>
  <c r="O40" i="4"/>
  <c r="U40" i="4"/>
  <c r="V40" i="4"/>
  <c r="W40" i="4"/>
  <c r="M43" i="4"/>
  <c r="N43" i="4"/>
  <c r="O43" i="4"/>
  <c r="U43" i="4"/>
  <c r="V43" i="4"/>
  <c r="W43" i="4"/>
  <c r="M44" i="4"/>
  <c r="N44" i="4"/>
  <c r="O44" i="4"/>
  <c r="U44" i="4"/>
  <c r="V44" i="4"/>
  <c r="W44" i="4"/>
  <c r="M45" i="4"/>
  <c r="N45" i="4"/>
  <c r="O45" i="4"/>
  <c r="U45" i="4"/>
  <c r="V45" i="4"/>
  <c r="W45" i="4"/>
  <c r="M46" i="4"/>
  <c r="N46" i="4"/>
  <c r="O46" i="4"/>
  <c r="U46" i="4"/>
  <c r="V46" i="4"/>
  <c r="W46" i="4"/>
  <c r="M47" i="4"/>
  <c r="N47" i="4"/>
  <c r="O47" i="4"/>
  <c r="U47" i="4"/>
  <c r="V47" i="4"/>
  <c r="W47" i="4"/>
  <c r="M48" i="4"/>
  <c r="N48" i="4"/>
  <c r="O48" i="4"/>
  <c r="U48" i="4"/>
  <c r="V48" i="4"/>
  <c r="W48" i="4"/>
  <c r="M49" i="4"/>
  <c r="N49" i="4"/>
  <c r="O49" i="4"/>
  <c r="U49" i="4"/>
  <c r="V49" i="4"/>
  <c r="W49" i="4"/>
  <c r="M50" i="4"/>
  <c r="N50" i="4"/>
  <c r="O50" i="4"/>
  <c r="U50" i="4"/>
  <c r="V50" i="4"/>
  <c r="W50" i="4"/>
  <c r="M51" i="4"/>
  <c r="N51" i="4"/>
  <c r="O51" i="4"/>
  <c r="U51" i="4"/>
  <c r="V51" i="4"/>
  <c r="W51" i="4"/>
  <c r="M52" i="4"/>
  <c r="N52" i="4"/>
  <c r="O52" i="4"/>
  <c r="U52" i="4"/>
  <c r="V52" i="4"/>
  <c r="W52" i="4"/>
  <c r="M55" i="4"/>
  <c r="N55" i="4"/>
  <c r="O55" i="4"/>
  <c r="U55" i="4"/>
  <c r="V55" i="4"/>
  <c r="W55" i="4"/>
  <c r="M56" i="4"/>
  <c r="N56" i="4"/>
  <c r="O56" i="4"/>
  <c r="U56" i="4"/>
  <c r="V56" i="4"/>
  <c r="W56" i="4"/>
  <c r="M57" i="4"/>
  <c r="N57" i="4"/>
  <c r="O57" i="4"/>
  <c r="U57" i="4"/>
  <c r="V57" i="4"/>
  <c r="W57" i="4"/>
  <c r="M58" i="4"/>
  <c r="N58" i="4"/>
  <c r="O58" i="4"/>
  <c r="U58" i="4"/>
  <c r="V58" i="4"/>
  <c r="W58" i="4"/>
  <c r="M59" i="4"/>
  <c r="N59" i="4"/>
  <c r="O59" i="4"/>
  <c r="U59" i="4"/>
  <c r="V59" i="4"/>
  <c r="W59" i="4"/>
  <c r="M60" i="4"/>
  <c r="N60" i="4"/>
  <c r="O60" i="4"/>
  <c r="U60" i="4"/>
  <c r="V60" i="4"/>
  <c r="W60" i="4"/>
  <c r="M61" i="4"/>
  <c r="N61" i="4"/>
  <c r="O61" i="4"/>
  <c r="U61" i="4"/>
  <c r="V61" i="4"/>
  <c r="W61" i="4"/>
  <c r="M62" i="4"/>
  <c r="N62" i="4"/>
  <c r="O62" i="4"/>
  <c r="U62" i="4"/>
  <c r="V62" i="4"/>
  <c r="W62" i="4"/>
  <c r="M63" i="4"/>
  <c r="N63" i="4"/>
  <c r="O63" i="4"/>
  <c r="U63" i="4"/>
  <c r="V63" i="4"/>
  <c r="W63" i="4"/>
  <c r="M64" i="4"/>
  <c r="N64" i="4"/>
  <c r="O64" i="4"/>
  <c r="U64" i="4"/>
  <c r="V64" i="4"/>
  <c r="W64" i="4"/>
  <c r="M65" i="4"/>
  <c r="N65" i="4"/>
  <c r="O65" i="4"/>
  <c r="U65" i="4"/>
  <c r="V65" i="4"/>
  <c r="W65" i="4"/>
  <c r="AC7" i="4"/>
  <c r="AD7" i="4"/>
  <c r="AE7" i="4"/>
  <c r="AK7" i="4"/>
  <c r="AL7" i="4"/>
  <c r="AM7" i="4"/>
  <c r="AS7" i="4"/>
  <c r="AT7" i="4"/>
  <c r="AU7" i="4"/>
  <c r="BA7" i="4"/>
  <c r="BB7" i="4"/>
  <c r="BC7" i="4"/>
  <c r="BI7" i="4"/>
  <c r="BJ7" i="4"/>
  <c r="BK7" i="4"/>
  <c r="BQ7" i="4"/>
  <c r="BR7" i="4"/>
  <c r="BS7" i="4"/>
  <c r="BY7" i="4"/>
  <c r="BZ7" i="4"/>
  <c r="CA7" i="4"/>
  <c r="CG7" i="4"/>
  <c r="CH7" i="4"/>
  <c r="CI7" i="4"/>
  <c r="CO7" i="4"/>
  <c r="CP7" i="4"/>
  <c r="CQ7" i="4"/>
  <c r="CW7" i="4"/>
  <c r="CX7" i="4"/>
  <c r="CY7" i="4"/>
  <c r="AC8" i="4"/>
  <c r="AD8" i="4"/>
  <c r="AE8" i="4"/>
  <c r="AK8" i="4"/>
  <c r="AL8" i="4"/>
  <c r="AM8" i="4"/>
  <c r="AS8" i="4"/>
  <c r="AT8" i="4"/>
  <c r="AU8" i="4"/>
  <c r="BA8" i="4"/>
  <c r="BB8" i="4"/>
  <c r="BC8" i="4"/>
  <c r="BI8" i="4"/>
  <c r="BJ8" i="4"/>
  <c r="BK8" i="4"/>
  <c r="BQ8" i="4"/>
  <c r="BR8" i="4"/>
  <c r="BS8" i="4"/>
  <c r="BY8" i="4"/>
  <c r="BZ8" i="4"/>
  <c r="CA8" i="4"/>
  <c r="CG8" i="4"/>
  <c r="CH8" i="4"/>
  <c r="CI8" i="4"/>
  <c r="CO8" i="4"/>
  <c r="CP8" i="4"/>
  <c r="CQ8" i="4"/>
  <c r="CW8" i="4"/>
  <c r="CX8" i="4"/>
  <c r="CY8" i="4"/>
  <c r="AC9" i="4"/>
  <c r="AD9" i="4"/>
  <c r="AE9" i="4"/>
  <c r="AK9" i="4"/>
  <c r="AL9" i="4"/>
  <c r="AM9" i="4"/>
  <c r="AS9" i="4"/>
  <c r="AT9" i="4"/>
  <c r="AU9" i="4"/>
  <c r="BA9" i="4"/>
  <c r="BB9" i="4"/>
  <c r="BC9" i="4"/>
  <c r="BI9" i="4"/>
  <c r="BJ9" i="4"/>
  <c r="BK9" i="4"/>
  <c r="BQ9" i="4"/>
  <c r="BR9" i="4"/>
  <c r="BS9" i="4"/>
  <c r="BY9" i="4"/>
  <c r="BZ9" i="4"/>
  <c r="CA9" i="4"/>
  <c r="CG9" i="4"/>
  <c r="CH9" i="4"/>
  <c r="CI9" i="4"/>
  <c r="CO9" i="4"/>
  <c r="CP9" i="4"/>
  <c r="CQ9" i="4"/>
  <c r="CW9" i="4"/>
  <c r="CX9" i="4"/>
  <c r="CY9" i="4"/>
  <c r="AC10" i="4"/>
  <c r="AD10" i="4"/>
  <c r="AE10" i="4"/>
  <c r="AK10" i="4"/>
  <c r="AL10" i="4"/>
  <c r="AM10" i="4"/>
  <c r="AS10" i="4"/>
  <c r="AT10" i="4"/>
  <c r="AU10" i="4"/>
  <c r="BA10" i="4"/>
  <c r="BB10" i="4"/>
  <c r="BC10" i="4"/>
  <c r="BI10" i="4"/>
  <c r="BJ10" i="4"/>
  <c r="BK10" i="4"/>
  <c r="BQ10" i="4"/>
  <c r="BR10" i="4"/>
  <c r="BS10" i="4"/>
  <c r="BY10" i="4"/>
  <c r="BZ10" i="4"/>
  <c r="CA10" i="4"/>
  <c r="CG10" i="4"/>
  <c r="CH10" i="4"/>
  <c r="CI10" i="4"/>
  <c r="CO10" i="4"/>
  <c r="CP10" i="4"/>
  <c r="CQ10" i="4"/>
  <c r="CW10" i="4"/>
  <c r="CX10" i="4"/>
  <c r="CY10" i="4"/>
  <c r="AC11" i="4"/>
  <c r="AD11" i="4"/>
  <c r="AE11" i="4"/>
  <c r="AK11" i="4"/>
  <c r="AL11" i="4"/>
  <c r="AM11" i="4"/>
  <c r="AS11" i="4"/>
  <c r="AT11" i="4"/>
  <c r="AU11" i="4"/>
  <c r="BA11" i="4"/>
  <c r="BB11" i="4"/>
  <c r="BC11" i="4"/>
  <c r="BI11" i="4"/>
  <c r="BJ11" i="4"/>
  <c r="BK11" i="4"/>
  <c r="BQ11" i="4"/>
  <c r="BR11" i="4"/>
  <c r="BS11" i="4"/>
  <c r="BY11" i="4"/>
  <c r="BZ11" i="4"/>
  <c r="CA11" i="4"/>
  <c r="CG11" i="4"/>
  <c r="CH11" i="4"/>
  <c r="CI11" i="4"/>
  <c r="CO11" i="4"/>
  <c r="CP11" i="4"/>
  <c r="CQ11" i="4"/>
  <c r="CW11" i="4"/>
  <c r="CX11" i="4"/>
  <c r="CY11" i="4"/>
  <c r="AC12" i="4"/>
  <c r="AD12" i="4"/>
  <c r="AE12" i="4"/>
  <c r="AK12" i="4"/>
  <c r="AL12" i="4"/>
  <c r="AM12" i="4"/>
  <c r="AS12" i="4"/>
  <c r="AT12" i="4"/>
  <c r="AU12" i="4"/>
  <c r="BA12" i="4"/>
  <c r="BB12" i="4"/>
  <c r="BC12" i="4"/>
  <c r="BI12" i="4"/>
  <c r="BJ12" i="4"/>
  <c r="BK12" i="4"/>
  <c r="BQ12" i="4"/>
  <c r="BR12" i="4"/>
  <c r="BS12" i="4"/>
  <c r="BY12" i="4"/>
  <c r="BZ12" i="4"/>
  <c r="CA12" i="4"/>
  <c r="CG12" i="4"/>
  <c r="CH12" i="4"/>
  <c r="CI12" i="4"/>
  <c r="CO12" i="4"/>
  <c r="CP12" i="4"/>
  <c r="CQ12" i="4"/>
  <c r="CW12" i="4"/>
  <c r="CX12" i="4"/>
  <c r="CY12" i="4"/>
  <c r="AC13" i="4"/>
  <c r="AD13" i="4"/>
  <c r="AE13" i="4"/>
  <c r="AK13" i="4"/>
  <c r="AL13" i="4"/>
  <c r="AM13" i="4"/>
  <c r="AS13" i="4"/>
  <c r="AT13" i="4"/>
  <c r="AU13" i="4"/>
  <c r="BA13" i="4"/>
  <c r="BB13" i="4"/>
  <c r="BC13" i="4"/>
  <c r="BI13" i="4"/>
  <c r="BJ13" i="4"/>
  <c r="BK13" i="4"/>
  <c r="BQ13" i="4"/>
  <c r="BR13" i="4"/>
  <c r="BS13" i="4"/>
  <c r="BY13" i="4"/>
  <c r="BZ13" i="4"/>
  <c r="CA13" i="4"/>
  <c r="CG13" i="4"/>
  <c r="CH13" i="4"/>
  <c r="CI13" i="4"/>
  <c r="CO13" i="4"/>
  <c r="CP13" i="4"/>
  <c r="CQ13" i="4"/>
  <c r="CW13" i="4"/>
  <c r="CX13" i="4"/>
  <c r="CY13" i="4"/>
  <c r="AC14" i="4"/>
  <c r="AD14" i="4"/>
  <c r="AE14" i="4"/>
  <c r="AK14" i="4"/>
  <c r="AL14" i="4"/>
  <c r="AM14" i="4"/>
  <c r="AS14" i="4"/>
  <c r="AT14" i="4"/>
  <c r="AU14" i="4"/>
  <c r="BA14" i="4"/>
  <c r="BB14" i="4"/>
  <c r="BC14" i="4"/>
  <c r="BI14" i="4"/>
  <c r="BJ14" i="4"/>
  <c r="BK14" i="4"/>
  <c r="BQ14" i="4"/>
  <c r="BR14" i="4"/>
  <c r="BS14" i="4"/>
  <c r="BY14" i="4"/>
  <c r="BZ14" i="4"/>
  <c r="CA14" i="4"/>
  <c r="CG14" i="4"/>
  <c r="CH14" i="4"/>
  <c r="CI14" i="4"/>
  <c r="CO14" i="4"/>
  <c r="CP14" i="4"/>
  <c r="CQ14" i="4"/>
  <c r="CW14" i="4"/>
  <c r="CX14" i="4"/>
  <c r="CY14" i="4"/>
  <c r="AC15" i="4"/>
  <c r="AD15" i="4"/>
  <c r="AE15" i="4"/>
  <c r="AK15" i="4"/>
  <c r="AL15" i="4"/>
  <c r="AM15" i="4"/>
  <c r="AS15" i="4"/>
  <c r="AT15" i="4"/>
  <c r="AU15" i="4"/>
  <c r="BA15" i="4"/>
  <c r="BB15" i="4"/>
  <c r="BC15" i="4"/>
  <c r="BI15" i="4"/>
  <c r="BJ15" i="4"/>
  <c r="BK15" i="4"/>
  <c r="BQ15" i="4"/>
  <c r="BR15" i="4"/>
  <c r="BS15" i="4"/>
  <c r="BY15" i="4"/>
  <c r="BZ15" i="4"/>
  <c r="CA15" i="4"/>
  <c r="CG15" i="4"/>
  <c r="CH15" i="4"/>
  <c r="CI15" i="4"/>
  <c r="CO15" i="4"/>
  <c r="CP15" i="4"/>
  <c r="CQ15" i="4"/>
  <c r="CW15" i="4"/>
  <c r="CX15" i="4"/>
  <c r="CY15" i="4"/>
  <c r="AC16" i="4"/>
  <c r="AD16" i="4"/>
  <c r="AE16" i="4"/>
  <c r="AK16" i="4"/>
  <c r="AL16" i="4"/>
  <c r="AM16" i="4"/>
  <c r="AS16" i="4"/>
  <c r="AT16" i="4"/>
  <c r="AU16" i="4"/>
  <c r="BA16" i="4"/>
  <c r="BB16" i="4"/>
  <c r="BC16" i="4"/>
  <c r="BI16" i="4"/>
  <c r="BJ16" i="4"/>
  <c r="BK16" i="4"/>
  <c r="BQ16" i="4"/>
  <c r="BR16" i="4"/>
  <c r="BS16" i="4"/>
  <c r="BY16" i="4"/>
  <c r="BZ16" i="4"/>
  <c r="CA16" i="4"/>
  <c r="CG16" i="4"/>
  <c r="CH16" i="4"/>
  <c r="CI16" i="4"/>
  <c r="CO16" i="4"/>
  <c r="CP16" i="4"/>
  <c r="CQ16" i="4"/>
  <c r="CW16" i="4"/>
  <c r="CX16" i="4"/>
  <c r="CY16" i="4"/>
  <c r="AC19" i="4"/>
  <c r="AD19" i="4"/>
  <c r="AE19" i="4"/>
  <c r="AK19" i="4"/>
  <c r="AL19" i="4"/>
  <c r="AM19" i="4"/>
  <c r="AS19" i="4"/>
  <c r="AT19" i="4"/>
  <c r="AU19" i="4"/>
  <c r="BA19" i="4"/>
  <c r="BB19" i="4"/>
  <c r="BC19" i="4"/>
  <c r="BI19" i="4"/>
  <c r="BJ19" i="4"/>
  <c r="BK19" i="4"/>
  <c r="BQ19" i="4"/>
  <c r="BR19" i="4"/>
  <c r="BS19" i="4"/>
  <c r="BY19" i="4"/>
  <c r="BZ19" i="4"/>
  <c r="CA19" i="4"/>
  <c r="CG19" i="4"/>
  <c r="CH19" i="4"/>
  <c r="CI19" i="4"/>
  <c r="CO19" i="4"/>
  <c r="CP19" i="4"/>
  <c r="CQ19" i="4"/>
  <c r="CW19" i="4"/>
  <c r="CX19" i="4"/>
  <c r="CY19" i="4"/>
  <c r="AC20" i="4"/>
  <c r="AD20" i="4"/>
  <c r="AE20" i="4"/>
  <c r="AK20" i="4"/>
  <c r="AL20" i="4"/>
  <c r="AM20" i="4"/>
  <c r="AS20" i="4"/>
  <c r="AT20" i="4"/>
  <c r="AU20" i="4"/>
  <c r="BA20" i="4"/>
  <c r="BB20" i="4"/>
  <c r="BC20" i="4"/>
  <c r="BI20" i="4"/>
  <c r="BJ20" i="4"/>
  <c r="BK20" i="4"/>
  <c r="BQ20" i="4"/>
  <c r="BR20" i="4"/>
  <c r="BS20" i="4"/>
  <c r="BY20" i="4"/>
  <c r="BZ20" i="4"/>
  <c r="CA20" i="4"/>
  <c r="CG20" i="4"/>
  <c r="CH20" i="4"/>
  <c r="CI20" i="4"/>
  <c r="CO20" i="4"/>
  <c r="CP20" i="4"/>
  <c r="CQ20" i="4"/>
  <c r="CW20" i="4"/>
  <c r="CX20" i="4"/>
  <c r="CY20" i="4"/>
  <c r="AC21" i="4"/>
  <c r="AD21" i="4"/>
  <c r="AE21" i="4"/>
  <c r="AK21" i="4"/>
  <c r="AL21" i="4"/>
  <c r="AM21" i="4"/>
  <c r="AS21" i="4"/>
  <c r="AT21" i="4"/>
  <c r="AU21" i="4"/>
  <c r="BA21" i="4"/>
  <c r="BB21" i="4"/>
  <c r="BC21" i="4"/>
  <c r="BI21" i="4"/>
  <c r="BJ21" i="4"/>
  <c r="BK21" i="4"/>
  <c r="BQ21" i="4"/>
  <c r="BR21" i="4"/>
  <c r="BS21" i="4"/>
  <c r="BY21" i="4"/>
  <c r="BZ21" i="4"/>
  <c r="CA21" i="4"/>
  <c r="CG21" i="4"/>
  <c r="CH21" i="4"/>
  <c r="CI21" i="4"/>
  <c r="CO21" i="4"/>
  <c r="CP21" i="4"/>
  <c r="CQ21" i="4"/>
  <c r="CW21" i="4"/>
  <c r="CX21" i="4"/>
  <c r="CY21" i="4"/>
  <c r="AC22" i="4"/>
  <c r="AD22" i="4"/>
  <c r="AE22" i="4"/>
  <c r="AK22" i="4"/>
  <c r="AL22" i="4"/>
  <c r="AM22" i="4"/>
  <c r="AS22" i="4"/>
  <c r="AT22" i="4"/>
  <c r="AU22" i="4"/>
  <c r="BA22" i="4"/>
  <c r="BB22" i="4"/>
  <c r="BC22" i="4"/>
  <c r="BI22" i="4"/>
  <c r="BJ22" i="4"/>
  <c r="BK22" i="4"/>
  <c r="BQ22" i="4"/>
  <c r="BR22" i="4"/>
  <c r="BS22" i="4"/>
  <c r="BY22" i="4"/>
  <c r="BZ22" i="4"/>
  <c r="CA22" i="4"/>
  <c r="CG22" i="4"/>
  <c r="CH22" i="4"/>
  <c r="CI22" i="4"/>
  <c r="CO22" i="4"/>
  <c r="CP22" i="4"/>
  <c r="CQ22" i="4"/>
  <c r="CW22" i="4"/>
  <c r="CX22" i="4"/>
  <c r="CY22" i="4"/>
  <c r="AC23" i="4"/>
  <c r="AD23" i="4"/>
  <c r="AE23" i="4"/>
  <c r="AK23" i="4"/>
  <c r="AL23" i="4"/>
  <c r="AM23" i="4"/>
  <c r="AS23" i="4"/>
  <c r="AT23" i="4"/>
  <c r="AU23" i="4"/>
  <c r="BA23" i="4"/>
  <c r="BB23" i="4"/>
  <c r="BC23" i="4"/>
  <c r="BI23" i="4"/>
  <c r="BJ23" i="4"/>
  <c r="BK23" i="4"/>
  <c r="BQ23" i="4"/>
  <c r="BR23" i="4"/>
  <c r="BS23" i="4"/>
  <c r="BY23" i="4"/>
  <c r="BZ23" i="4"/>
  <c r="CA23" i="4"/>
  <c r="CG23" i="4"/>
  <c r="CH23" i="4"/>
  <c r="CI23" i="4"/>
  <c r="CO23" i="4"/>
  <c r="CP23" i="4"/>
  <c r="CQ23" i="4"/>
  <c r="CW23" i="4"/>
  <c r="CX23" i="4"/>
  <c r="CY23" i="4"/>
  <c r="AC24" i="4"/>
  <c r="AD24" i="4"/>
  <c r="AE24" i="4"/>
  <c r="AK24" i="4"/>
  <c r="AL24" i="4"/>
  <c r="AM24" i="4"/>
  <c r="AT24" i="4"/>
  <c r="AU24" i="4"/>
  <c r="BA24" i="4"/>
  <c r="BB24" i="4"/>
  <c r="BC24" i="4"/>
  <c r="BI24" i="4"/>
  <c r="BJ24" i="4"/>
  <c r="BK24" i="4"/>
  <c r="BQ24" i="4"/>
  <c r="BR24" i="4"/>
  <c r="BS24" i="4"/>
  <c r="BY24" i="4"/>
  <c r="BZ24" i="4"/>
  <c r="CA24" i="4"/>
  <c r="CG24" i="4"/>
  <c r="CH24" i="4"/>
  <c r="CI24" i="4"/>
  <c r="CO24" i="4"/>
  <c r="CP24" i="4"/>
  <c r="CQ24" i="4"/>
  <c r="CW24" i="4"/>
  <c r="CX24" i="4"/>
  <c r="CY24" i="4"/>
  <c r="AC25" i="4"/>
  <c r="AD25" i="4"/>
  <c r="AE25" i="4"/>
  <c r="AK25" i="4"/>
  <c r="AL25" i="4"/>
  <c r="AM25" i="4"/>
  <c r="AT25" i="4"/>
  <c r="AU25" i="4"/>
  <c r="BA25" i="4"/>
  <c r="BB25" i="4"/>
  <c r="BC25" i="4"/>
  <c r="BI25" i="4"/>
  <c r="BJ25" i="4"/>
  <c r="BK25" i="4"/>
  <c r="BQ25" i="4"/>
  <c r="BR25" i="4"/>
  <c r="BS25" i="4"/>
  <c r="BY25" i="4"/>
  <c r="BZ25" i="4"/>
  <c r="CA25" i="4"/>
  <c r="CG25" i="4"/>
  <c r="CH25" i="4"/>
  <c r="CI25" i="4"/>
  <c r="CO25" i="4"/>
  <c r="CP25" i="4"/>
  <c r="CQ25" i="4"/>
  <c r="CW25" i="4"/>
  <c r="CX25" i="4"/>
  <c r="CY25" i="4"/>
  <c r="AC26" i="4"/>
  <c r="AD26" i="4"/>
  <c r="AE26" i="4"/>
  <c r="AK26" i="4"/>
  <c r="AL26" i="4"/>
  <c r="AM26" i="4"/>
  <c r="AT26" i="4"/>
  <c r="AU26" i="4"/>
  <c r="BA26" i="4"/>
  <c r="BB26" i="4"/>
  <c r="BC26" i="4"/>
  <c r="BI26" i="4"/>
  <c r="BJ26" i="4"/>
  <c r="BK26" i="4"/>
  <c r="BQ26" i="4"/>
  <c r="BR26" i="4"/>
  <c r="BS26" i="4"/>
  <c r="BY26" i="4"/>
  <c r="BZ26" i="4"/>
  <c r="CA26" i="4"/>
  <c r="CG26" i="4"/>
  <c r="CH26" i="4"/>
  <c r="CI26" i="4"/>
  <c r="CO26" i="4"/>
  <c r="CP26" i="4"/>
  <c r="CQ26" i="4"/>
  <c r="CW26" i="4"/>
  <c r="CX26" i="4"/>
  <c r="CY26" i="4"/>
  <c r="AC27" i="4"/>
  <c r="AD27" i="4"/>
  <c r="AE27" i="4"/>
  <c r="AK27" i="4"/>
  <c r="AL27" i="4"/>
  <c r="AM27" i="4"/>
  <c r="AT27" i="4"/>
  <c r="AU27" i="4"/>
  <c r="BA27" i="4"/>
  <c r="BB27" i="4"/>
  <c r="BC27" i="4"/>
  <c r="BI27" i="4"/>
  <c r="BJ27" i="4"/>
  <c r="BK27" i="4"/>
  <c r="BQ27" i="4"/>
  <c r="BR27" i="4"/>
  <c r="BS27" i="4"/>
  <c r="BY27" i="4"/>
  <c r="BZ27" i="4"/>
  <c r="CA27" i="4"/>
  <c r="CG27" i="4"/>
  <c r="CH27" i="4"/>
  <c r="CI27" i="4"/>
  <c r="CO27" i="4"/>
  <c r="CP27" i="4"/>
  <c r="CQ27" i="4"/>
  <c r="CW27" i="4"/>
  <c r="CX27" i="4"/>
  <c r="CY27" i="4"/>
  <c r="AC28" i="4"/>
  <c r="AD28" i="4"/>
  <c r="AE28" i="4"/>
  <c r="AK28" i="4"/>
  <c r="AL28" i="4"/>
  <c r="AM28" i="4"/>
  <c r="AT28" i="4"/>
  <c r="AU28" i="4"/>
  <c r="BA28" i="4"/>
  <c r="BB28" i="4"/>
  <c r="BC28" i="4"/>
  <c r="BI28" i="4"/>
  <c r="BJ28" i="4"/>
  <c r="BK28" i="4"/>
  <c r="BQ28" i="4"/>
  <c r="BR28" i="4"/>
  <c r="BS28" i="4"/>
  <c r="BY28" i="4"/>
  <c r="BZ28" i="4"/>
  <c r="CA28" i="4"/>
  <c r="CG28" i="4"/>
  <c r="CH28" i="4"/>
  <c r="CI28" i="4"/>
  <c r="CO28" i="4"/>
  <c r="CP28" i="4"/>
  <c r="CQ28" i="4"/>
  <c r="CW28" i="4"/>
  <c r="CX28" i="4"/>
  <c r="CY28" i="4"/>
  <c r="AC31" i="4"/>
  <c r="AD31" i="4"/>
  <c r="AE31" i="4"/>
  <c r="AK31" i="4"/>
  <c r="AL31" i="4"/>
  <c r="AM31" i="4"/>
  <c r="AS31" i="4"/>
  <c r="AT31" i="4"/>
  <c r="AU31" i="4"/>
  <c r="BA31" i="4"/>
  <c r="BB31" i="4"/>
  <c r="BC31" i="4"/>
  <c r="BI31" i="4"/>
  <c r="BJ31" i="4"/>
  <c r="BK31" i="4"/>
  <c r="BQ31" i="4"/>
  <c r="BR31" i="4"/>
  <c r="BS31" i="4"/>
  <c r="BY31" i="4"/>
  <c r="BZ31" i="4"/>
  <c r="CA31" i="4"/>
  <c r="CG31" i="4"/>
  <c r="CH31" i="4"/>
  <c r="CI31" i="4"/>
  <c r="CO31" i="4"/>
  <c r="CP31" i="4"/>
  <c r="CQ31" i="4"/>
  <c r="CW31" i="4"/>
  <c r="CX31" i="4"/>
  <c r="CY31" i="4"/>
  <c r="AC32" i="4"/>
  <c r="AD32" i="4"/>
  <c r="AE32" i="4"/>
  <c r="AK32" i="4"/>
  <c r="AL32" i="4"/>
  <c r="AM32" i="4"/>
  <c r="AS32" i="4"/>
  <c r="AT32" i="4"/>
  <c r="AU32" i="4"/>
  <c r="BA32" i="4"/>
  <c r="BB32" i="4"/>
  <c r="BC32" i="4"/>
  <c r="BI32" i="4"/>
  <c r="BJ32" i="4"/>
  <c r="BK32" i="4"/>
  <c r="BQ32" i="4"/>
  <c r="BR32" i="4"/>
  <c r="BS32" i="4"/>
  <c r="BY32" i="4"/>
  <c r="BZ32" i="4"/>
  <c r="CA32" i="4"/>
  <c r="CG32" i="4"/>
  <c r="CH32" i="4"/>
  <c r="CI32" i="4"/>
  <c r="CO32" i="4"/>
  <c r="CP32" i="4"/>
  <c r="CQ32" i="4"/>
  <c r="CW32" i="4"/>
  <c r="CX32" i="4"/>
  <c r="CY32" i="4"/>
  <c r="AC33" i="4"/>
  <c r="AD33" i="4"/>
  <c r="AE33" i="4"/>
  <c r="AK33" i="4"/>
  <c r="AL33" i="4"/>
  <c r="AM33" i="4"/>
  <c r="AS33" i="4"/>
  <c r="AT33" i="4"/>
  <c r="AU33" i="4"/>
  <c r="BA33" i="4"/>
  <c r="BB33" i="4"/>
  <c r="BC33" i="4"/>
  <c r="BI33" i="4"/>
  <c r="BJ33" i="4"/>
  <c r="BK33" i="4"/>
  <c r="BQ33" i="4"/>
  <c r="BR33" i="4"/>
  <c r="BS33" i="4"/>
  <c r="BY33" i="4"/>
  <c r="BZ33" i="4"/>
  <c r="CA33" i="4"/>
  <c r="CG33" i="4"/>
  <c r="CH33" i="4"/>
  <c r="CI33" i="4"/>
  <c r="CO33" i="4"/>
  <c r="CP33" i="4"/>
  <c r="CQ33" i="4"/>
  <c r="CW33" i="4"/>
  <c r="CX33" i="4"/>
  <c r="CY33" i="4"/>
  <c r="AC34" i="4"/>
  <c r="AD34" i="4"/>
  <c r="AE34" i="4"/>
  <c r="AK34" i="4"/>
  <c r="AL34" i="4"/>
  <c r="AM34" i="4"/>
  <c r="AS34" i="4"/>
  <c r="AT34" i="4"/>
  <c r="AU34" i="4"/>
  <c r="BA34" i="4"/>
  <c r="BB34" i="4"/>
  <c r="BC34" i="4"/>
  <c r="BI34" i="4"/>
  <c r="BJ34" i="4"/>
  <c r="BK34" i="4"/>
  <c r="BQ34" i="4"/>
  <c r="BR34" i="4"/>
  <c r="BS34" i="4"/>
  <c r="BY34" i="4"/>
  <c r="BZ34" i="4"/>
  <c r="CA34" i="4"/>
  <c r="CG34" i="4"/>
  <c r="CH34" i="4"/>
  <c r="CI34" i="4"/>
  <c r="CO34" i="4"/>
  <c r="CP34" i="4"/>
  <c r="CQ34" i="4"/>
  <c r="CW34" i="4"/>
  <c r="CX34" i="4"/>
  <c r="CY34" i="4"/>
  <c r="AC35" i="4"/>
  <c r="AD35" i="4"/>
  <c r="AE35" i="4"/>
  <c r="AK35" i="4"/>
  <c r="AL35" i="4"/>
  <c r="AM35" i="4"/>
  <c r="AS35" i="4"/>
  <c r="AT35" i="4"/>
  <c r="AU35" i="4"/>
  <c r="BA35" i="4"/>
  <c r="BB35" i="4"/>
  <c r="BC35" i="4"/>
  <c r="BI35" i="4"/>
  <c r="BJ35" i="4"/>
  <c r="BK35" i="4"/>
  <c r="BQ35" i="4"/>
  <c r="BR35" i="4"/>
  <c r="BS35" i="4"/>
  <c r="BY35" i="4"/>
  <c r="BZ35" i="4"/>
  <c r="CA35" i="4"/>
  <c r="CG35" i="4"/>
  <c r="CH35" i="4"/>
  <c r="CI35" i="4"/>
  <c r="CO35" i="4"/>
  <c r="CP35" i="4"/>
  <c r="CQ35" i="4"/>
  <c r="CW35" i="4"/>
  <c r="CX35" i="4"/>
  <c r="CY35" i="4"/>
  <c r="AC36" i="4"/>
  <c r="AD36" i="4"/>
  <c r="AE36" i="4"/>
  <c r="AK36" i="4"/>
  <c r="AL36" i="4"/>
  <c r="AM36" i="4"/>
  <c r="AS36" i="4"/>
  <c r="AT36" i="4"/>
  <c r="AU36" i="4"/>
  <c r="BA36" i="4"/>
  <c r="BB36" i="4"/>
  <c r="BC36" i="4"/>
  <c r="BI36" i="4"/>
  <c r="BJ36" i="4"/>
  <c r="BK36" i="4"/>
  <c r="BQ36" i="4"/>
  <c r="BR36" i="4"/>
  <c r="BS36" i="4"/>
  <c r="BY36" i="4"/>
  <c r="BZ36" i="4"/>
  <c r="CA36" i="4"/>
  <c r="CG36" i="4"/>
  <c r="CH36" i="4"/>
  <c r="CI36" i="4"/>
  <c r="CO36" i="4"/>
  <c r="CP36" i="4"/>
  <c r="CQ36" i="4"/>
  <c r="CW36" i="4"/>
  <c r="CX36" i="4"/>
  <c r="CY36" i="4"/>
  <c r="AC37" i="4"/>
  <c r="AD37" i="4"/>
  <c r="AE37" i="4"/>
  <c r="AK37" i="4"/>
  <c r="AL37" i="4"/>
  <c r="AM37" i="4"/>
  <c r="AS37" i="4"/>
  <c r="AT37" i="4"/>
  <c r="AU37" i="4"/>
  <c r="BA37" i="4"/>
  <c r="BB37" i="4"/>
  <c r="BC37" i="4"/>
  <c r="BI37" i="4"/>
  <c r="BJ37" i="4"/>
  <c r="BK37" i="4"/>
  <c r="BQ37" i="4"/>
  <c r="BR37" i="4"/>
  <c r="BS37" i="4"/>
  <c r="BY37" i="4"/>
  <c r="BZ37" i="4"/>
  <c r="CA37" i="4"/>
  <c r="CG37" i="4"/>
  <c r="CH37" i="4"/>
  <c r="CI37" i="4"/>
  <c r="CO37" i="4"/>
  <c r="CP37" i="4"/>
  <c r="CQ37" i="4"/>
  <c r="CW37" i="4"/>
  <c r="CX37" i="4"/>
  <c r="CY37" i="4"/>
  <c r="AC38" i="4"/>
  <c r="AD38" i="4"/>
  <c r="AE38" i="4"/>
  <c r="AK38" i="4"/>
  <c r="AL38" i="4"/>
  <c r="AM38" i="4"/>
  <c r="AS38" i="4"/>
  <c r="AT38" i="4"/>
  <c r="AU38" i="4"/>
  <c r="BA38" i="4"/>
  <c r="BB38" i="4"/>
  <c r="BC38" i="4"/>
  <c r="BI38" i="4"/>
  <c r="BJ38" i="4"/>
  <c r="BK38" i="4"/>
  <c r="BQ38" i="4"/>
  <c r="BR38" i="4"/>
  <c r="BS38" i="4"/>
  <c r="BY38" i="4"/>
  <c r="BZ38" i="4"/>
  <c r="CA38" i="4"/>
  <c r="CG38" i="4"/>
  <c r="CH38" i="4"/>
  <c r="CI38" i="4"/>
  <c r="CO38" i="4"/>
  <c r="CP38" i="4"/>
  <c r="CQ38" i="4"/>
  <c r="CW38" i="4"/>
  <c r="CX38" i="4"/>
  <c r="CY38" i="4"/>
  <c r="AC39" i="4"/>
  <c r="AD39" i="4"/>
  <c r="AE39" i="4"/>
  <c r="AK39" i="4"/>
  <c r="AL39" i="4"/>
  <c r="AM39" i="4"/>
  <c r="AS39" i="4"/>
  <c r="AT39" i="4"/>
  <c r="AU39" i="4"/>
  <c r="BA39" i="4"/>
  <c r="BB39" i="4"/>
  <c r="BC39" i="4"/>
  <c r="BI39" i="4"/>
  <c r="BJ39" i="4"/>
  <c r="BK39" i="4"/>
  <c r="BQ39" i="4"/>
  <c r="BR39" i="4"/>
  <c r="BS39" i="4"/>
  <c r="BY39" i="4"/>
  <c r="BZ39" i="4"/>
  <c r="CA39" i="4"/>
  <c r="CG39" i="4"/>
  <c r="CH39" i="4"/>
  <c r="CI39" i="4"/>
  <c r="CO39" i="4"/>
  <c r="CP39" i="4"/>
  <c r="CQ39" i="4"/>
  <c r="CW39" i="4"/>
  <c r="CX39" i="4"/>
  <c r="CY39" i="4"/>
  <c r="AC40" i="4"/>
  <c r="AD40" i="4"/>
  <c r="AE40" i="4"/>
  <c r="AK40" i="4"/>
  <c r="AL40" i="4"/>
  <c r="AM40" i="4"/>
  <c r="AS40" i="4"/>
  <c r="AT40" i="4"/>
  <c r="AU40" i="4"/>
  <c r="BA40" i="4"/>
  <c r="BB40" i="4"/>
  <c r="BC40" i="4"/>
  <c r="BI40" i="4"/>
  <c r="BJ40" i="4"/>
  <c r="BK40" i="4"/>
  <c r="BQ40" i="4"/>
  <c r="BR40" i="4"/>
  <c r="BS40" i="4"/>
  <c r="BY40" i="4"/>
  <c r="BZ40" i="4"/>
  <c r="CA40" i="4"/>
  <c r="CG40" i="4"/>
  <c r="CH40" i="4"/>
  <c r="CI40" i="4"/>
  <c r="CO40" i="4"/>
  <c r="CP40" i="4"/>
  <c r="CQ40" i="4"/>
  <c r="CW40" i="4"/>
  <c r="CX40" i="4"/>
  <c r="CY40" i="4"/>
  <c r="AC43" i="4"/>
  <c r="AD43" i="4"/>
  <c r="AE43" i="4"/>
  <c r="AK43" i="4"/>
  <c r="AL43" i="4"/>
  <c r="AM43" i="4"/>
  <c r="AS43" i="4"/>
  <c r="AT43" i="4"/>
  <c r="AU43" i="4"/>
  <c r="BA43" i="4"/>
  <c r="BB43" i="4"/>
  <c r="BC43" i="4"/>
  <c r="BI43" i="4"/>
  <c r="BJ43" i="4"/>
  <c r="BK43" i="4"/>
  <c r="BQ43" i="4"/>
  <c r="BR43" i="4"/>
  <c r="BS43" i="4"/>
  <c r="BY43" i="4"/>
  <c r="BZ43" i="4"/>
  <c r="CA43" i="4"/>
  <c r="CG43" i="4"/>
  <c r="CH43" i="4"/>
  <c r="CI43" i="4"/>
  <c r="CO43" i="4"/>
  <c r="CP43" i="4"/>
  <c r="CQ43" i="4"/>
  <c r="CW43" i="4"/>
  <c r="CX43" i="4"/>
  <c r="CY43" i="4"/>
  <c r="AC44" i="4"/>
  <c r="AD44" i="4"/>
  <c r="AE44" i="4"/>
  <c r="AK44" i="4"/>
  <c r="AL44" i="4"/>
  <c r="AM44" i="4"/>
  <c r="AS44" i="4"/>
  <c r="AT44" i="4"/>
  <c r="AU44" i="4"/>
  <c r="BA44" i="4"/>
  <c r="BB44" i="4"/>
  <c r="BC44" i="4"/>
  <c r="BI44" i="4"/>
  <c r="BJ44" i="4"/>
  <c r="BK44" i="4"/>
  <c r="BQ44" i="4"/>
  <c r="BR44" i="4"/>
  <c r="BS44" i="4"/>
  <c r="BY44" i="4"/>
  <c r="BZ44" i="4"/>
  <c r="CA44" i="4"/>
  <c r="CG44" i="4"/>
  <c r="CH44" i="4"/>
  <c r="CI44" i="4"/>
  <c r="CO44" i="4"/>
  <c r="CP44" i="4"/>
  <c r="CQ44" i="4"/>
  <c r="CW44" i="4"/>
  <c r="CX44" i="4"/>
  <c r="CY44" i="4"/>
  <c r="AC45" i="4"/>
  <c r="AD45" i="4"/>
  <c r="AE45" i="4"/>
  <c r="AK45" i="4"/>
  <c r="AL45" i="4"/>
  <c r="AM45" i="4"/>
  <c r="AS45" i="4"/>
  <c r="AT45" i="4"/>
  <c r="AU45" i="4"/>
  <c r="BA45" i="4"/>
  <c r="BB45" i="4"/>
  <c r="BC45" i="4"/>
  <c r="BI45" i="4"/>
  <c r="BJ45" i="4"/>
  <c r="BK45" i="4"/>
  <c r="BQ45" i="4"/>
  <c r="BR45" i="4"/>
  <c r="BS45" i="4"/>
  <c r="BY45" i="4"/>
  <c r="BZ45" i="4"/>
  <c r="CA45" i="4"/>
  <c r="CG45" i="4"/>
  <c r="CH45" i="4"/>
  <c r="CI45" i="4"/>
  <c r="CO45" i="4"/>
  <c r="CP45" i="4"/>
  <c r="CQ45" i="4"/>
  <c r="CW45" i="4"/>
  <c r="CX45" i="4"/>
  <c r="CY45" i="4"/>
  <c r="AC46" i="4"/>
  <c r="AD46" i="4"/>
  <c r="AE46" i="4"/>
  <c r="AK46" i="4"/>
  <c r="AL46" i="4"/>
  <c r="AM46" i="4"/>
  <c r="AS46" i="4"/>
  <c r="AT46" i="4"/>
  <c r="AU46" i="4"/>
  <c r="BA46" i="4"/>
  <c r="BB46" i="4"/>
  <c r="BC46" i="4"/>
  <c r="BI46" i="4"/>
  <c r="BJ46" i="4"/>
  <c r="BK46" i="4"/>
  <c r="BQ46" i="4"/>
  <c r="BR46" i="4"/>
  <c r="BS46" i="4"/>
  <c r="BY46" i="4"/>
  <c r="BZ46" i="4"/>
  <c r="CA46" i="4"/>
  <c r="CG46" i="4"/>
  <c r="CH46" i="4"/>
  <c r="CI46" i="4"/>
  <c r="CO46" i="4"/>
  <c r="CP46" i="4"/>
  <c r="CQ46" i="4"/>
  <c r="CW46" i="4"/>
  <c r="CX46" i="4"/>
  <c r="CY46" i="4"/>
  <c r="AC47" i="4"/>
  <c r="AD47" i="4"/>
  <c r="AE47" i="4"/>
  <c r="AK47" i="4"/>
  <c r="AL47" i="4"/>
  <c r="AM47" i="4"/>
  <c r="AS47" i="4"/>
  <c r="AT47" i="4"/>
  <c r="AU47" i="4"/>
  <c r="BA47" i="4"/>
  <c r="BB47" i="4"/>
  <c r="BC47" i="4"/>
  <c r="BI47" i="4"/>
  <c r="BJ47" i="4"/>
  <c r="BK47" i="4"/>
  <c r="BQ47" i="4"/>
  <c r="BR47" i="4"/>
  <c r="BS47" i="4"/>
  <c r="BY47" i="4"/>
  <c r="BZ47" i="4"/>
  <c r="CA47" i="4"/>
  <c r="CG47" i="4"/>
  <c r="CH47" i="4"/>
  <c r="CI47" i="4"/>
  <c r="CO47" i="4"/>
  <c r="CP47" i="4"/>
  <c r="CQ47" i="4"/>
  <c r="CW47" i="4"/>
  <c r="CX47" i="4"/>
  <c r="CY47" i="4"/>
  <c r="AC48" i="4"/>
  <c r="AD48" i="4"/>
  <c r="AE48" i="4"/>
  <c r="AK48" i="4"/>
  <c r="AL48" i="4"/>
  <c r="AM48" i="4"/>
  <c r="AS48" i="4"/>
  <c r="AT48" i="4"/>
  <c r="AU48" i="4"/>
  <c r="BA48" i="4"/>
  <c r="BB48" i="4"/>
  <c r="BC48" i="4"/>
  <c r="BI48" i="4"/>
  <c r="BJ48" i="4"/>
  <c r="BK48" i="4"/>
  <c r="BQ48" i="4"/>
  <c r="BR48" i="4"/>
  <c r="BS48" i="4"/>
  <c r="BY48" i="4"/>
  <c r="BZ48" i="4"/>
  <c r="CA48" i="4"/>
  <c r="CG48" i="4"/>
  <c r="CH48" i="4"/>
  <c r="CI48" i="4"/>
  <c r="CO48" i="4"/>
  <c r="CP48" i="4"/>
  <c r="CQ48" i="4"/>
  <c r="CW48" i="4"/>
  <c r="CX48" i="4"/>
  <c r="CY48" i="4"/>
  <c r="AC49" i="4"/>
  <c r="AD49" i="4"/>
  <c r="AE49" i="4"/>
  <c r="AK49" i="4"/>
  <c r="AL49" i="4"/>
  <c r="AM49" i="4"/>
  <c r="AS49" i="4"/>
  <c r="AT49" i="4"/>
  <c r="AU49" i="4"/>
  <c r="BA49" i="4"/>
  <c r="BB49" i="4"/>
  <c r="BC49" i="4"/>
  <c r="BI49" i="4"/>
  <c r="BJ49" i="4"/>
  <c r="BK49" i="4"/>
  <c r="BQ49" i="4"/>
  <c r="BR49" i="4"/>
  <c r="BS49" i="4"/>
  <c r="BY49" i="4"/>
  <c r="BZ49" i="4"/>
  <c r="CA49" i="4"/>
  <c r="CG49" i="4"/>
  <c r="CH49" i="4"/>
  <c r="CI49" i="4"/>
  <c r="CO49" i="4"/>
  <c r="CP49" i="4"/>
  <c r="CQ49" i="4"/>
  <c r="CW49" i="4"/>
  <c r="CX49" i="4"/>
  <c r="CY49" i="4"/>
  <c r="AC50" i="4"/>
  <c r="AD50" i="4"/>
  <c r="AE50" i="4"/>
  <c r="AK50" i="4"/>
  <c r="AL50" i="4"/>
  <c r="AM50" i="4"/>
  <c r="AS50" i="4"/>
  <c r="AT50" i="4"/>
  <c r="AU50" i="4"/>
  <c r="BA50" i="4"/>
  <c r="BB50" i="4"/>
  <c r="BC50" i="4"/>
  <c r="BI50" i="4"/>
  <c r="BJ50" i="4"/>
  <c r="BK50" i="4"/>
  <c r="BQ50" i="4"/>
  <c r="BR50" i="4"/>
  <c r="BS50" i="4"/>
  <c r="BY50" i="4"/>
  <c r="BZ50" i="4"/>
  <c r="CA50" i="4"/>
  <c r="CG50" i="4"/>
  <c r="CH50" i="4"/>
  <c r="CI50" i="4"/>
  <c r="CO50" i="4"/>
  <c r="CP50" i="4"/>
  <c r="CQ50" i="4"/>
  <c r="CW50" i="4"/>
  <c r="CX50" i="4"/>
  <c r="CY50" i="4"/>
  <c r="AC51" i="4"/>
  <c r="AD51" i="4"/>
  <c r="AE51" i="4"/>
  <c r="AK51" i="4"/>
  <c r="AL51" i="4"/>
  <c r="AM51" i="4"/>
  <c r="AS51" i="4"/>
  <c r="AT51" i="4"/>
  <c r="AU51" i="4"/>
  <c r="BA51" i="4"/>
  <c r="BB51" i="4"/>
  <c r="BC51" i="4"/>
  <c r="BI51" i="4"/>
  <c r="BJ51" i="4"/>
  <c r="BK51" i="4"/>
  <c r="BQ51" i="4"/>
  <c r="BR51" i="4"/>
  <c r="BS51" i="4"/>
  <c r="BY51" i="4"/>
  <c r="BZ51" i="4"/>
  <c r="CA51" i="4"/>
  <c r="CG51" i="4"/>
  <c r="CH51" i="4"/>
  <c r="CI51" i="4"/>
  <c r="CO51" i="4"/>
  <c r="CP51" i="4"/>
  <c r="CQ51" i="4"/>
  <c r="CW51" i="4"/>
  <c r="CX51" i="4"/>
  <c r="CY51" i="4"/>
  <c r="AC52" i="4"/>
  <c r="AD52" i="4"/>
  <c r="AE52" i="4"/>
  <c r="AK52" i="4"/>
  <c r="AL52" i="4"/>
  <c r="AM52" i="4"/>
  <c r="AS52" i="4"/>
  <c r="AT52" i="4"/>
  <c r="AU52" i="4"/>
  <c r="BA52" i="4"/>
  <c r="BB52" i="4"/>
  <c r="BC52" i="4"/>
  <c r="BI52" i="4"/>
  <c r="BJ52" i="4"/>
  <c r="BK52" i="4"/>
  <c r="BQ52" i="4"/>
  <c r="BR52" i="4"/>
  <c r="BS52" i="4"/>
  <c r="BY52" i="4"/>
  <c r="BZ52" i="4"/>
  <c r="CA52" i="4"/>
  <c r="CG52" i="4"/>
  <c r="CH52" i="4"/>
  <c r="CI52" i="4"/>
  <c r="CO52" i="4"/>
  <c r="CP52" i="4"/>
  <c r="CQ52" i="4"/>
  <c r="CW52" i="4"/>
  <c r="CX52" i="4"/>
  <c r="CY52" i="4"/>
  <c r="AC55" i="4"/>
  <c r="AD55" i="4"/>
  <c r="AE55" i="4"/>
  <c r="AK55" i="4"/>
  <c r="AL55" i="4"/>
  <c r="AM55" i="4"/>
  <c r="AS55" i="4"/>
  <c r="AT55" i="4"/>
  <c r="AU55" i="4"/>
  <c r="BA55" i="4"/>
  <c r="BB55" i="4"/>
  <c r="BC55" i="4"/>
  <c r="BI55" i="4"/>
  <c r="BJ55" i="4"/>
  <c r="BK55" i="4"/>
  <c r="BQ55" i="4"/>
  <c r="BR55" i="4"/>
  <c r="BS55" i="4"/>
  <c r="BY55" i="4"/>
  <c r="BZ55" i="4"/>
  <c r="CA55" i="4"/>
  <c r="CG55" i="4"/>
  <c r="CH55" i="4"/>
  <c r="CI55" i="4"/>
  <c r="CO55" i="4"/>
  <c r="CP55" i="4"/>
  <c r="CQ55" i="4"/>
  <c r="CW55" i="4"/>
  <c r="CX55" i="4"/>
  <c r="CY55" i="4"/>
  <c r="AC56" i="4"/>
  <c r="AD56" i="4"/>
  <c r="AE56" i="4"/>
  <c r="AK56" i="4"/>
  <c r="AL56" i="4"/>
  <c r="AM56" i="4"/>
  <c r="AS56" i="4"/>
  <c r="AT56" i="4"/>
  <c r="AU56" i="4"/>
  <c r="BA56" i="4"/>
  <c r="BB56" i="4"/>
  <c r="BC56" i="4"/>
  <c r="BI56" i="4"/>
  <c r="BJ56" i="4"/>
  <c r="BK56" i="4"/>
  <c r="BQ56" i="4"/>
  <c r="BR56" i="4"/>
  <c r="BS56" i="4"/>
  <c r="BY56" i="4"/>
  <c r="BZ56" i="4"/>
  <c r="CA56" i="4"/>
  <c r="CG56" i="4"/>
  <c r="CH56" i="4"/>
  <c r="CI56" i="4"/>
  <c r="CO56" i="4"/>
  <c r="CP56" i="4"/>
  <c r="CQ56" i="4"/>
  <c r="CW56" i="4"/>
  <c r="CX56" i="4"/>
  <c r="CY56" i="4"/>
  <c r="AC57" i="4"/>
  <c r="AD57" i="4"/>
  <c r="AE57" i="4"/>
  <c r="AK57" i="4"/>
  <c r="AL57" i="4"/>
  <c r="AM57" i="4"/>
  <c r="AS57" i="4"/>
  <c r="AT57" i="4"/>
  <c r="AU57" i="4"/>
  <c r="BA57" i="4"/>
  <c r="BB57" i="4"/>
  <c r="BC57" i="4"/>
  <c r="BI57" i="4"/>
  <c r="BJ57" i="4"/>
  <c r="BK57" i="4"/>
  <c r="BQ57" i="4"/>
  <c r="BR57" i="4"/>
  <c r="BS57" i="4"/>
  <c r="BY57" i="4"/>
  <c r="BZ57" i="4"/>
  <c r="CA57" i="4"/>
  <c r="CG57" i="4"/>
  <c r="CH57" i="4"/>
  <c r="CI57" i="4"/>
  <c r="CO57" i="4"/>
  <c r="CP57" i="4"/>
  <c r="CQ57" i="4"/>
  <c r="CW57" i="4"/>
  <c r="CX57" i="4"/>
  <c r="CY57" i="4"/>
  <c r="AC58" i="4"/>
  <c r="AD58" i="4"/>
  <c r="AE58" i="4"/>
  <c r="AK58" i="4"/>
  <c r="AL58" i="4"/>
  <c r="AM58" i="4"/>
  <c r="AS58" i="4"/>
  <c r="AT58" i="4"/>
  <c r="AU58" i="4"/>
  <c r="BA58" i="4"/>
  <c r="BB58" i="4"/>
  <c r="BC58" i="4"/>
  <c r="BI58" i="4"/>
  <c r="BJ58" i="4"/>
  <c r="BK58" i="4"/>
  <c r="BQ58" i="4"/>
  <c r="BR58" i="4"/>
  <c r="BS58" i="4"/>
  <c r="BY58" i="4"/>
  <c r="BZ58" i="4"/>
  <c r="CA58" i="4"/>
  <c r="CG58" i="4"/>
  <c r="CH58" i="4"/>
  <c r="CI58" i="4"/>
  <c r="CO58" i="4"/>
  <c r="CP58" i="4"/>
  <c r="CQ58" i="4"/>
  <c r="CW58" i="4"/>
  <c r="CX58" i="4"/>
  <c r="CY58" i="4"/>
  <c r="AC59" i="4"/>
  <c r="AD59" i="4"/>
  <c r="AE59" i="4"/>
  <c r="AK59" i="4"/>
  <c r="AL59" i="4"/>
  <c r="AM59" i="4"/>
  <c r="AS59" i="4"/>
  <c r="AT59" i="4"/>
  <c r="AU59" i="4"/>
  <c r="BA59" i="4"/>
  <c r="BB59" i="4"/>
  <c r="BC59" i="4"/>
  <c r="BI59" i="4"/>
  <c r="BJ59" i="4"/>
  <c r="BK59" i="4"/>
  <c r="BQ59" i="4"/>
  <c r="BR59" i="4"/>
  <c r="BS59" i="4"/>
  <c r="BY59" i="4"/>
  <c r="BZ59" i="4"/>
  <c r="CA59" i="4"/>
  <c r="CG59" i="4"/>
  <c r="CH59" i="4"/>
  <c r="CI59" i="4"/>
  <c r="CO59" i="4"/>
  <c r="CP59" i="4"/>
  <c r="CQ59" i="4"/>
  <c r="CW59" i="4"/>
  <c r="CX59" i="4"/>
  <c r="CY59" i="4"/>
  <c r="AC60" i="4"/>
  <c r="AD60" i="4"/>
  <c r="AE60" i="4"/>
  <c r="AK60" i="4"/>
  <c r="AL60" i="4"/>
  <c r="AM60" i="4"/>
  <c r="AS60" i="4"/>
  <c r="AT60" i="4"/>
  <c r="AU60" i="4"/>
  <c r="BA60" i="4"/>
  <c r="BB60" i="4"/>
  <c r="BC60" i="4"/>
  <c r="BI60" i="4"/>
  <c r="BJ60" i="4"/>
  <c r="BK60" i="4"/>
  <c r="BQ60" i="4"/>
  <c r="BR60" i="4"/>
  <c r="BS60" i="4"/>
  <c r="BY60" i="4"/>
  <c r="BZ60" i="4"/>
  <c r="CA60" i="4"/>
  <c r="CG60" i="4"/>
  <c r="CH60" i="4"/>
  <c r="CI60" i="4"/>
  <c r="CO60" i="4"/>
  <c r="CP60" i="4"/>
  <c r="CQ60" i="4"/>
  <c r="CW60" i="4"/>
  <c r="CX60" i="4"/>
  <c r="CY60" i="4"/>
  <c r="AC61" i="4"/>
  <c r="AD61" i="4"/>
  <c r="AE61" i="4"/>
  <c r="AK61" i="4"/>
  <c r="AL61" i="4"/>
  <c r="AM61" i="4"/>
  <c r="AS61" i="4"/>
  <c r="AT61" i="4"/>
  <c r="AU61" i="4"/>
  <c r="BA61" i="4"/>
  <c r="BB61" i="4"/>
  <c r="BC61" i="4"/>
  <c r="BI61" i="4"/>
  <c r="BJ61" i="4"/>
  <c r="BK61" i="4"/>
  <c r="BQ61" i="4"/>
  <c r="BR61" i="4"/>
  <c r="BS61" i="4"/>
  <c r="BY61" i="4"/>
  <c r="BZ61" i="4"/>
  <c r="CA61" i="4"/>
  <c r="CG61" i="4"/>
  <c r="CH61" i="4"/>
  <c r="CI61" i="4"/>
  <c r="CO61" i="4"/>
  <c r="CP61" i="4"/>
  <c r="CQ61" i="4"/>
  <c r="CW61" i="4"/>
  <c r="CX61" i="4"/>
  <c r="CY61" i="4"/>
  <c r="AC62" i="4"/>
  <c r="AD62" i="4"/>
  <c r="AE62" i="4"/>
  <c r="AK62" i="4"/>
  <c r="AL62" i="4"/>
  <c r="AM62" i="4"/>
  <c r="AS62" i="4"/>
  <c r="AT62" i="4"/>
  <c r="AU62" i="4"/>
  <c r="BA62" i="4"/>
  <c r="BB62" i="4"/>
  <c r="BC62" i="4"/>
  <c r="BI62" i="4"/>
  <c r="BJ62" i="4"/>
  <c r="BK62" i="4"/>
  <c r="BQ62" i="4"/>
  <c r="BR62" i="4"/>
  <c r="BS62" i="4"/>
  <c r="BY62" i="4"/>
  <c r="BZ62" i="4"/>
  <c r="CA62" i="4"/>
  <c r="CG62" i="4"/>
  <c r="CH62" i="4"/>
  <c r="CI62" i="4"/>
  <c r="CO62" i="4"/>
  <c r="CP62" i="4"/>
  <c r="CQ62" i="4"/>
  <c r="CW62" i="4"/>
  <c r="CX62" i="4"/>
  <c r="CY62" i="4"/>
  <c r="AC63" i="4"/>
  <c r="AD63" i="4"/>
  <c r="AE63" i="4"/>
  <c r="AK63" i="4"/>
  <c r="AL63" i="4"/>
  <c r="AM63" i="4"/>
  <c r="AS63" i="4"/>
  <c r="AT63" i="4"/>
  <c r="AU63" i="4"/>
  <c r="BA63" i="4"/>
  <c r="BB63" i="4"/>
  <c r="BC63" i="4"/>
  <c r="BI63" i="4"/>
  <c r="BJ63" i="4"/>
  <c r="BK63" i="4"/>
  <c r="BQ63" i="4"/>
  <c r="BR63" i="4"/>
  <c r="BS63" i="4"/>
  <c r="BY63" i="4"/>
  <c r="BZ63" i="4"/>
  <c r="CA63" i="4"/>
  <c r="CG63" i="4"/>
  <c r="CH63" i="4"/>
  <c r="CI63" i="4"/>
  <c r="CO63" i="4"/>
  <c r="CP63" i="4"/>
  <c r="CQ63" i="4"/>
  <c r="CW63" i="4"/>
  <c r="CX63" i="4"/>
  <c r="CY63" i="4"/>
  <c r="AC64" i="4"/>
  <c r="AD64" i="4"/>
  <c r="AE64" i="4"/>
  <c r="AK64" i="4"/>
  <c r="AL64" i="4"/>
  <c r="AM64" i="4"/>
  <c r="AS64" i="4"/>
  <c r="AT64" i="4"/>
  <c r="AU64" i="4"/>
  <c r="BA64" i="4"/>
  <c r="BB64" i="4"/>
  <c r="BC64" i="4"/>
  <c r="BI64" i="4"/>
  <c r="BJ64" i="4"/>
  <c r="BK64" i="4"/>
  <c r="BQ64" i="4"/>
  <c r="BR64" i="4"/>
  <c r="BS64" i="4"/>
  <c r="BY64" i="4"/>
  <c r="BZ64" i="4"/>
  <c r="CA64" i="4"/>
  <c r="CG64" i="4"/>
  <c r="CH64" i="4"/>
  <c r="CI64" i="4"/>
  <c r="CO64" i="4"/>
  <c r="CP64" i="4"/>
  <c r="CQ64" i="4"/>
  <c r="CW64" i="4"/>
  <c r="CX64" i="4"/>
  <c r="CY64" i="4"/>
  <c r="AC65" i="4"/>
  <c r="AD65" i="4"/>
  <c r="AE65" i="4"/>
  <c r="AK65" i="4"/>
  <c r="AL65" i="4"/>
  <c r="AM65" i="4"/>
  <c r="AS65" i="4"/>
  <c r="AT65" i="4"/>
  <c r="AU65" i="4"/>
  <c r="BA65" i="4"/>
  <c r="BB65" i="4"/>
  <c r="BC65" i="4"/>
  <c r="BI65" i="4"/>
  <c r="BJ65" i="4"/>
  <c r="BK65" i="4"/>
  <c r="BQ65" i="4"/>
  <c r="BR65" i="4"/>
  <c r="BS65" i="4"/>
  <c r="BY65" i="4"/>
  <c r="BZ65" i="4"/>
  <c r="CA65" i="4"/>
  <c r="CG65" i="4"/>
  <c r="CH65" i="4"/>
  <c r="CI65" i="4"/>
  <c r="CO65" i="4"/>
  <c r="CP65" i="4"/>
  <c r="CQ65" i="4"/>
  <c r="CW65" i="4"/>
  <c r="CX65" i="4"/>
  <c r="CY65" i="4"/>
</calcChain>
</file>

<file path=xl/sharedStrings.xml><?xml version="1.0" encoding="utf-8"?>
<sst xmlns="http://schemas.openxmlformats.org/spreadsheetml/2006/main" count="910" uniqueCount="48">
  <si>
    <t>總計</t>
  </si>
  <si>
    <t>84 合計</t>
  </si>
  <si>
    <t>iPhone</t>
  </si>
  <si>
    <t>iPad</t>
  </si>
  <si>
    <t>CPU</t>
  </si>
  <si>
    <t>Care</t>
  </si>
  <si>
    <t>Audio</t>
  </si>
  <si>
    <t>Apple Watch</t>
  </si>
  <si>
    <t>AirPods</t>
  </si>
  <si>
    <t>Accy</t>
  </si>
  <si>
    <t>3rd Party</t>
  </si>
  <si>
    <t>81 合計</t>
  </si>
  <si>
    <t>77 合計</t>
  </si>
  <si>
    <t>76 合計</t>
  </si>
  <si>
    <r>
      <t>vs</t>
    </r>
    <r>
      <rPr>
        <b/>
        <sz val="14"/>
        <color theme="1"/>
        <rFont val="新細明體"/>
        <family val="2"/>
        <charset val="136"/>
      </rPr>
      <t>上週</t>
    </r>
    <phoneticPr fontId="2" type="noConversion"/>
  </si>
  <si>
    <r>
      <rPr>
        <b/>
        <sz val="14"/>
        <color theme="1"/>
        <rFont val="新細明體"/>
        <family val="2"/>
        <charset val="136"/>
      </rPr>
      <t>業績</t>
    </r>
    <phoneticPr fontId="2" type="noConversion"/>
  </si>
  <si>
    <t>Qty</t>
    <phoneticPr fontId="2" type="noConversion"/>
  </si>
  <si>
    <t>class</t>
    <phoneticPr fontId="2" type="noConversion"/>
  </si>
  <si>
    <t>store</t>
    <phoneticPr fontId="2" type="noConversion"/>
  </si>
  <si>
    <r>
      <t xml:space="preserve">75 </t>
    </r>
    <r>
      <rPr>
        <b/>
        <sz val="10"/>
        <rFont val="Microsoft JhengHei"/>
        <family val="2"/>
        <charset val="136"/>
      </rPr>
      <t>合計</t>
    </r>
    <phoneticPr fontId="2" type="noConversion"/>
  </si>
  <si>
    <t>Traffic</t>
    <phoneticPr fontId="2" type="noConversion"/>
  </si>
  <si>
    <t>Trade in</t>
    <phoneticPr fontId="2" type="noConversion"/>
  </si>
  <si>
    <t>25Q1W1</t>
  </si>
  <si>
    <t>25Q1W2</t>
  </si>
  <si>
    <t>25Q1W3</t>
  </si>
  <si>
    <t>25Q1W4</t>
  </si>
  <si>
    <t>25Q1W5</t>
  </si>
  <si>
    <t>25Q1W6</t>
  </si>
  <si>
    <t>25Q1W7</t>
  </si>
  <si>
    <t>10/13~10/19</t>
  </si>
  <si>
    <t>10/20~10/26</t>
  </si>
  <si>
    <t>11/10~11/16</t>
  </si>
  <si>
    <t>11/17~11/23</t>
  </si>
  <si>
    <t>11/24~11/30</t>
  </si>
  <si>
    <t>12/15~12/21</t>
  </si>
  <si>
    <t>12/22~12/28</t>
  </si>
  <si>
    <t>25Q1W8</t>
    <phoneticPr fontId="2" type="noConversion"/>
  </si>
  <si>
    <t>25Q1W9</t>
    <phoneticPr fontId="2" type="noConversion"/>
  </si>
  <si>
    <t>25Q1W10</t>
    <phoneticPr fontId="2" type="noConversion"/>
  </si>
  <si>
    <t>25Q1W11</t>
    <phoneticPr fontId="2" type="noConversion"/>
  </si>
  <si>
    <t>25Q1W12</t>
    <phoneticPr fontId="2" type="noConversion"/>
  </si>
  <si>
    <t>25Q1W13</t>
    <phoneticPr fontId="2" type="noConversion"/>
  </si>
  <si>
    <t>09/29~10/05</t>
    <phoneticPr fontId="2" type="noConversion"/>
  </si>
  <si>
    <t>10/06~10/12</t>
    <phoneticPr fontId="2" type="noConversion"/>
  </si>
  <si>
    <t>10/27~11/02</t>
    <phoneticPr fontId="2" type="noConversion"/>
  </si>
  <si>
    <t>11/03~11/09</t>
    <phoneticPr fontId="2" type="noConversion"/>
  </si>
  <si>
    <t>12/01~12/07</t>
    <phoneticPr fontId="2" type="noConversion"/>
  </si>
  <si>
    <t>12/08~12/14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</si>
</sst>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m&quot;月&quot;d&quot;日&quot;"/>
  </numFmts>
  <fonts count="1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新細明體"/>
      <family val="2"/>
      <charset val="136"/>
    </font>
    <font>
      <b/>
      <sz val="14"/>
      <name val="Arial"/>
      <family val="2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6"/>
      <color theme="1"/>
      <name val="新細明體"/>
      <family val="2"/>
      <charset val="136"/>
      <scheme val="minor"/>
    </font>
    <font>
      <sz val="16"/>
      <name val="Arial"/>
      <family val="2"/>
    </font>
    <font>
      <b/>
      <sz val="10"/>
      <name val="Microsoft JhengHei"/>
      <family val="2"/>
      <charset val="136"/>
    </font>
    <font>
      <sz val="12"/>
      <color theme="1"/>
      <name val="Microsoft JhengHei"/>
      <family val="2"/>
    </font>
  </fonts>
  <fills count="8">
    <fill>
      <patternFill patternType="none"/>
    </fill>
    <fill>
      <patternFill patternType="gray125"/>
    </fill>
    <fill>
      <patternFill patternType="solid">
        <fgColor rgb="FF58ACEE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A6C9ED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9" fontId="3" fillId="2" borderId="0" xfId="1" applyFont="1" applyFill="1" applyAlignment="1">
      <alignment vertical="center"/>
    </xf>
    <xf numFmtId="176" fontId="3" fillId="2" borderId="0" xfId="0" applyNumberFormat="1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2" applyFont="1" applyFill="1" applyAlignment="1">
      <alignment vertical="center"/>
    </xf>
    <xf numFmtId="176" fontId="6" fillId="2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9" fontId="3" fillId="3" borderId="0" xfId="1" applyFont="1" applyFill="1" applyAlignment="1">
      <alignment vertical="center"/>
    </xf>
    <xf numFmtId="176" fontId="3" fillId="3" borderId="0" xfId="0" applyNumberFormat="1" applyFont="1" applyFill="1">
      <alignment vertical="center"/>
    </xf>
    <xf numFmtId="0" fontId="3" fillId="3" borderId="0" xfId="0" applyFont="1" applyFill="1">
      <alignment vertical="center"/>
    </xf>
    <xf numFmtId="0" fontId="5" fillId="3" borderId="0" xfId="2" applyFont="1" applyFill="1" applyAlignment="1">
      <alignment vertical="center"/>
    </xf>
    <xf numFmtId="0" fontId="6" fillId="0" borderId="0" xfId="0" applyFont="1">
      <alignment vertical="center"/>
    </xf>
    <xf numFmtId="9" fontId="6" fillId="0" borderId="0" xfId="1" applyFont="1" applyAlignment="1">
      <alignment vertical="center"/>
    </xf>
    <xf numFmtId="176" fontId="6" fillId="0" borderId="0" xfId="0" applyNumberFormat="1" applyFont="1">
      <alignment vertical="center"/>
    </xf>
    <xf numFmtId="0" fontId="4" fillId="0" borderId="0" xfId="2" applyAlignment="1">
      <alignment vertical="center"/>
    </xf>
    <xf numFmtId="0" fontId="4" fillId="4" borderId="0" xfId="2" applyFill="1" applyAlignment="1">
      <alignment vertical="center"/>
    </xf>
    <xf numFmtId="0" fontId="7" fillId="0" borderId="0" xfId="0" applyFont="1">
      <alignment vertical="center"/>
    </xf>
    <xf numFmtId="0" fontId="7" fillId="5" borderId="0" xfId="0" applyFont="1" applyFill="1" applyAlignment="1">
      <alignment horizontal="right" vertical="center"/>
    </xf>
    <xf numFmtId="176" fontId="7" fillId="5" borderId="0" xfId="0" applyNumberFormat="1" applyFont="1" applyFill="1">
      <alignment vertical="center"/>
    </xf>
    <xf numFmtId="0" fontId="7" fillId="5" borderId="0" xfId="0" applyFont="1" applyFill="1">
      <alignment vertical="center"/>
    </xf>
    <xf numFmtId="0" fontId="9" fillId="5" borderId="0" xfId="2" applyFont="1" applyFill="1" applyAlignment="1">
      <alignment vertical="center"/>
    </xf>
    <xf numFmtId="0" fontId="10" fillId="0" borderId="0" xfId="0" applyFont="1">
      <alignment vertical="center"/>
    </xf>
    <xf numFmtId="176" fontId="10" fillId="0" borderId="0" xfId="0" applyNumberFormat="1" applyFont="1">
      <alignment vertical="center"/>
    </xf>
    <xf numFmtId="0" fontId="11" fillId="0" borderId="0" xfId="2" applyFont="1" applyAlignme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176" fontId="13" fillId="0" borderId="0" xfId="0" applyNumberFormat="1" applyFont="1">
      <alignment vertical="center"/>
    </xf>
    <xf numFmtId="0" fontId="14" fillId="0" borderId="0" xfId="2" applyFont="1" applyAlignment="1">
      <alignment vertical="center"/>
    </xf>
    <xf numFmtId="0" fontId="6" fillId="6" borderId="0" xfId="0" applyFont="1" applyFill="1">
      <alignment vertical="center"/>
    </xf>
    <xf numFmtId="176" fontId="6" fillId="6" borderId="0" xfId="0" applyNumberFormat="1" applyFont="1" applyFill="1">
      <alignment vertical="center"/>
    </xf>
    <xf numFmtId="9" fontId="6" fillId="6" borderId="0" xfId="1" applyFont="1" applyFill="1" applyAlignment="1">
      <alignment vertical="center"/>
    </xf>
    <xf numFmtId="9" fontId="6" fillId="2" borderId="0" xfId="1" applyFont="1" applyFill="1" applyAlignment="1">
      <alignment vertical="center"/>
    </xf>
    <xf numFmtId="177" fontId="12" fillId="0" borderId="0" xfId="0" applyNumberFormat="1" applyFont="1">
      <alignment vertical="center"/>
    </xf>
    <xf numFmtId="0" fontId="9" fillId="0" borderId="0" xfId="2" applyFont="1" applyAlignment="1">
      <alignment vertical="center"/>
    </xf>
    <xf numFmtId="9" fontId="6" fillId="0" borderId="0" xfId="1" applyFont="1" applyFill="1" applyAlignment="1">
      <alignment vertical="center"/>
    </xf>
    <xf numFmtId="176" fontId="0" fillId="0" borderId="0" xfId="0" applyNumberFormat="1">
      <alignment vertical="center"/>
    </xf>
    <xf numFmtId="9" fontId="3" fillId="0" borderId="0" xfId="1" applyFont="1" applyFill="1" applyAlignment="1">
      <alignment vertical="center"/>
    </xf>
    <xf numFmtId="0" fontId="16" fillId="0" borderId="0" xfId="0" applyFont="1">
      <alignment vertical="center"/>
    </xf>
    <xf numFmtId="176" fontId="7" fillId="0" borderId="0" xfId="0" applyNumberFormat="1" applyFont="1">
      <alignment vertical="center"/>
    </xf>
    <xf numFmtId="0" fontId="7" fillId="0" borderId="0" xfId="0" applyFont="1" applyAlignment="1">
      <alignment horizontal="right" vertical="center"/>
    </xf>
    <xf numFmtId="176" fontId="3" fillId="0" borderId="0" xfId="0" applyNumberFormat="1" applyFont="1">
      <alignment vertical="center"/>
    </xf>
    <xf numFmtId="0" fontId="4" fillId="7" borderId="0" xfId="2" applyFill="1" applyAlignment="1">
      <alignment vertical="center"/>
    </xf>
    <xf numFmtId="49" fontId="12" fillId="0" borderId="0" xfId="0" applyNumberFormat="1" applyFont="1">
      <alignment vertical="center"/>
    </xf>
  </cellXfs>
  <cellStyles count="3">
    <cellStyle name="一般" xfId="0" builtinId="0"/>
    <cellStyle name="一般 2" xfId="2" xr:uid="{0CB5398D-811F-454E-A670-53B654D1D081}"/>
    <cellStyle name="百分比" xfId="1" builtinId="5"/>
  </cellStyles>
  <dxfs count="1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D9D9D9"/>
      <color rgb="FF58ACEE"/>
      <color rgb="FFA6C9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4355-6941-2845-BCEC-077BE07F4927}">
  <dimension ref="A1:CY65"/>
  <sheetViews>
    <sheetView tabSelected="1" topLeftCell="BU1" zoomScale="81" workbookViewId="0">
      <selection activeCell="CO1" sqref="CO1"/>
    </sheetView>
  </sheetViews>
  <sheetFormatPr baseColWidth="10" defaultRowHeight="15"/>
  <cols>
    <col min="1" max="1" width="11" bestFit="1" customWidth="1"/>
    <col min="3" max="3" width="11" bestFit="1" customWidth="1"/>
    <col min="4" max="4" width="14.1640625" bestFit="1" customWidth="1"/>
    <col min="5" max="5" width="11" bestFit="1" customWidth="1"/>
    <col min="6" max="6" width="14.1640625" bestFit="1" customWidth="1"/>
    <col min="7" max="7" width="11" bestFit="1" customWidth="1"/>
    <col min="8" max="8" width="5" customWidth="1"/>
    <col min="9" max="9" width="11" bestFit="1" customWidth="1"/>
    <col min="11" max="11" width="11" bestFit="1" customWidth="1"/>
    <col min="12" max="12" width="14.1640625" bestFit="1" customWidth="1"/>
    <col min="13" max="13" width="11" bestFit="1" customWidth="1"/>
    <col min="14" max="14" width="12.33203125" bestFit="1" customWidth="1"/>
    <col min="15" max="15" width="11" bestFit="1" customWidth="1"/>
    <col min="16" max="16" width="5" customWidth="1"/>
    <col min="17" max="17" width="11" bestFit="1" customWidth="1"/>
    <col min="19" max="19" width="11" bestFit="1" customWidth="1"/>
    <col min="20" max="20" width="14.1640625" bestFit="1" customWidth="1"/>
    <col min="21" max="21" width="11" bestFit="1" customWidth="1"/>
    <col min="22" max="22" width="14.1640625" bestFit="1" customWidth="1"/>
    <col min="23" max="23" width="11" bestFit="1" customWidth="1"/>
    <col min="24" max="24" width="5" customWidth="1"/>
    <col min="25" max="25" width="11" bestFit="1" customWidth="1"/>
    <col min="27" max="27" width="11" bestFit="1" customWidth="1"/>
    <col min="28" max="28" width="14.1640625" bestFit="1" customWidth="1"/>
    <col min="29" max="29" width="11" bestFit="1" customWidth="1"/>
    <col min="30" max="30" width="15" bestFit="1" customWidth="1"/>
    <col min="31" max="31" width="11" bestFit="1" customWidth="1"/>
    <col min="32" max="32" width="5" customWidth="1"/>
    <col min="33" max="33" width="11" bestFit="1" customWidth="1"/>
    <col min="35" max="35" width="11" bestFit="1" customWidth="1"/>
    <col min="36" max="36" width="14.1640625" bestFit="1" customWidth="1"/>
    <col min="37" max="37" width="11" bestFit="1" customWidth="1"/>
    <col min="38" max="38" width="13.5" bestFit="1" customWidth="1"/>
    <col min="39" max="39" width="11" bestFit="1" customWidth="1"/>
    <col min="40" max="40" width="5" customWidth="1"/>
    <col min="41" max="41" width="11" bestFit="1" customWidth="1"/>
    <col min="43" max="43" width="11" bestFit="1" customWidth="1"/>
    <col min="44" max="44" width="14.1640625" bestFit="1" customWidth="1"/>
    <col min="45" max="45" width="11" bestFit="1" customWidth="1"/>
    <col min="46" max="46" width="13.5" bestFit="1" customWidth="1"/>
    <col min="47" max="47" width="11" bestFit="1" customWidth="1"/>
    <col min="48" max="48" width="5" customWidth="1"/>
    <col min="49" max="49" width="11" bestFit="1" customWidth="1"/>
    <col min="51" max="51" width="11" bestFit="1" customWidth="1"/>
    <col min="52" max="52" width="14.1640625" bestFit="1" customWidth="1"/>
    <col min="53" max="53" width="11" bestFit="1" customWidth="1"/>
    <col min="54" max="54" width="15" bestFit="1" customWidth="1"/>
    <col min="55" max="55" width="11" bestFit="1" customWidth="1"/>
    <col min="56" max="56" width="5" customWidth="1"/>
    <col min="57" max="57" width="13.1640625" bestFit="1" customWidth="1"/>
    <col min="58" max="58" width="11.83203125" bestFit="1" customWidth="1"/>
    <col min="59" max="59" width="15.5" bestFit="1" customWidth="1"/>
    <col min="60" max="60" width="18.6640625" style="36" bestFit="1" customWidth="1"/>
    <col min="61" max="62" width="10" style="36" customWidth="1"/>
    <col min="63" max="63" width="8.83203125" style="36" bestFit="1" customWidth="1"/>
    <col min="64" max="64" width="5" style="36" customWidth="1"/>
    <col min="65" max="65" width="13.1640625" bestFit="1" customWidth="1"/>
    <col min="67" max="67" width="11" bestFit="1" customWidth="1"/>
    <col min="68" max="68" width="11.6640625" bestFit="1" customWidth="1"/>
    <col min="69" max="71" width="11" bestFit="1" customWidth="1"/>
    <col min="72" max="72" width="6.1640625" customWidth="1"/>
    <col min="76" max="76" width="13" bestFit="1" customWidth="1"/>
    <col min="78" max="78" width="12.33203125" bestFit="1" customWidth="1"/>
    <col min="80" max="80" width="6.1640625" customWidth="1"/>
    <col min="84" max="84" width="13" bestFit="1" customWidth="1"/>
    <col min="86" max="86" width="12" customWidth="1"/>
    <col min="88" max="88" width="6.1640625" customWidth="1"/>
    <col min="92" max="92" width="14.1640625" bestFit="1" customWidth="1"/>
    <col min="94" max="94" width="14.1640625" bestFit="1" customWidth="1"/>
    <col min="96" max="96" width="6.1640625" customWidth="1"/>
    <col min="100" max="100" width="14.1640625" bestFit="1" customWidth="1"/>
    <col min="102" max="102" width="14.1640625" bestFit="1" customWidth="1"/>
  </cols>
  <sheetData>
    <row r="1" spans="1:103" s="26" customFormat="1" ht="28" customHeight="1">
      <c r="A1" s="28" t="s">
        <v>22</v>
      </c>
      <c r="B1" s="28"/>
      <c r="D1" s="27"/>
      <c r="I1" s="28" t="s">
        <v>23</v>
      </c>
      <c r="J1" s="28"/>
      <c r="L1" s="27"/>
      <c r="Q1" s="28" t="s">
        <v>24</v>
      </c>
      <c r="R1" s="28"/>
      <c r="T1" s="27"/>
      <c r="Y1" s="28" t="s">
        <v>25</v>
      </c>
      <c r="Z1" s="28"/>
      <c r="AB1" s="27"/>
      <c r="AG1" s="28" t="s">
        <v>26</v>
      </c>
      <c r="AH1" s="28"/>
      <c r="AJ1" s="27"/>
      <c r="AO1" s="28" t="s">
        <v>27</v>
      </c>
      <c r="AP1" s="28"/>
      <c r="AR1" s="27"/>
      <c r="AW1" s="28" t="s">
        <v>28</v>
      </c>
      <c r="AX1" s="28"/>
      <c r="AZ1" s="27"/>
      <c r="BE1" s="28" t="s">
        <v>36</v>
      </c>
      <c r="BF1" s="28"/>
      <c r="BH1" s="27"/>
      <c r="BM1" s="28" t="s">
        <v>37</v>
      </c>
      <c r="BN1" s="28"/>
      <c r="BP1" s="27"/>
      <c r="BU1" s="28" t="s">
        <v>38</v>
      </c>
      <c r="BV1" s="28"/>
      <c r="BX1" s="27"/>
      <c r="CC1" s="28" t="s">
        <v>39</v>
      </c>
      <c r="CD1" s="28"/>
      <c r="CF1" s="27"/>
      <c r="CK1" s="28" t="s">
        <v>40</v>
      </c>
      <c r="CL1" s="28"/>
      <c r="CN1" s="27"/>
      <c r="CS1" s="28" t="s">
        <v>41</v>
      </c>
      <c r="CT1" s="28"/>
      <c r="CV1" s="27"/>
    </row>
    <row r="2" spans="1:103" s="22" customFormat="1" ht="28" customHeight="1">
      <c r="A2" s="43" t="s">
        <v>42</v>
      </c>
      <c r="B2" s="24"/>
      <c r="D2" s="23"/>
      <c r="I2" s="22" t="s">
        <v>43</v>
      </c>
      <c r="J2" s="23"/>
      <c r="O2" s="33"/>
      <c r="Q2" s="22" t="s">
        <v>29</v>
      </c>
      <c r="Y2" s="22" t="s">
        <v>30</v>
      </c>
      <c r="AA2" s="33"/>
      <c r="AB2" s="33"/>
      <c r="AC2" s="33"/>
      <c r="AD2" s="33"/>
      <c r="AF2" s="25"/>
      <c r="AG2" s="33" t="s">
        <v>44</v>
      </c>
      <c r="AI2" s="25"/>
      <c r="AJ2" s="25"/>
      <c r="AL2" s="25"/>
      <c r="AM2" s="25"/>
      <c r="AO2" s="25" t="s">
        <v>45</v>
      </c>
      <c r="AP2" s="24"/>
      <c r="AQ2" s="24"/>
      <c r="AS2" s="25"/>
      <c r="AT2" s="25"/>
      <c r="AV2" s="25"/>
      <c r="AW2" s="25" t="s">
        <v>31</v>
      </c>
      <c r="AY2" s="25"/>
      <c r="AZ2" s="25"/>
      <c r="BB2" s="25"/>
      <c r="BC2" s="25"/>
      <c r="BE2" s="25" t="s">
        <v>32</v>
      </c>
      <c r="BF2" s="25"/>
      <c r="BH2" s="24"/>
      <c r="BI2" s="24"/>
      <c r="BJ2" s="24"/>
      <c r="BL2" s="25"/>
      <c r="BM2" s="24" t="s">
        <v>33</v>
      </c>
      <c r="BN2" s="25"/>
      <c r="BO2" s="25"/>
      <c r="BP2" s="25"/>
      <c r="BR2" s="25"/>
      <c r="BS2" s="25"/>
      <c r="BU2" s="25" t="s">
        <v>46</v>
      </c>
      <c r="BV2" s="25"/>
      <c r="BW2" s="25"/>
      <c r="BY2" s="25"/>
      <c r="BZ2" s="25"/>
      <c r="CC2" s="25" t="s">
        <v>47</v>
      </c>
      <c r="CD2" s="25"/>
      <c r="CF2" s="25"/>
      <c r="CG2" s="25"/>
      <c r="CJ2" s="24"/>
      <c r="CK2" s="25" t="s">
        <v>34</v>
      </c>
      <c r="CL2" s="25"/>
      <c r="CS2" s="22" t="s">
        <v>35</v>
      </c>
      <c r="CT2" s="24"/>
      <c r="CV2" s="23"/>
    </row>
    <row r="3" spans="1:103" s="22" customFormat="1" ht="18">
      <c r="A3" s="25"/>
      <c r="B3" s="24"/>
      <c r="D3" s="23"/>
      <c r="I3" s="33"/>
      <c r="K3" s="25"/>
      <c r="M3" s="25"/>
      <c r="O3" s="25"/>
      <c r="Q3" s="24"/>
      <c r="S3" s="25"/>
      <c r="U3" s="25"/>
      <c r="W3" s="25"/>
      <c r="Z3" s="24"/>
      <c r="AB3" s="23"/>
      <c r="AK3" s="24"/>
      <c r="AL3" s="24"/>
      <c r="AN3" s="23"/>
      <c r="AQ3" s="24"/>
      <c r="AR3" s="24"/>
      <c r="AT3" s="23"/>
      <c r="AW3" s="24"/>
      <c r="AX3" s="24"/>
      <c r="AZ3" s="23"/>
      <c r="BF3" s="23"/>
      <c r="BH3" s="23"/>
      <c r="BI3" s="23"/>
      <c r="BJ3" s="23"/>
      <c r="BK3" s="23"/>
      <c r="BL3" s="23"/>
      <c r="BN3" s="24"/>
      <c r="BP3" s="23"/>
      <c r="BU3" s="24"/>
      <c r="BV3" s="24"/>
      <c r="BX3" s="23"/>
      <c r="CC3" s="24"/>
      <c r="CD3" s="24"/>
      <c r="CF3" s="23"/>
      <c r="CK3" s="24"/>
      <c r="CL3" s="24"/>
      <c r="CN3" s="23"/>
      <c r="CS3" s="24"/>
      <c r="CT3" s="24"/>
      <c r="CV3" s="23"/>
    </row>
    <row r="4" spans="1:103" s="17" customFormat="1" ht="22" customHeight="1">
      <c r="A4" s="21" t="s">
        <v>18</v>
      </c>
      <c r="B4" s="21" t="s">
        <v>17</v>
      </c>
      <c r="C4" s="20" t="s">
        <v>16</v>
      </c>
      <c r="D4" s="19" t="s">
        <v>15</v>
      </c>
      <c r="E4" s="18" t="s">
        <v>14</v>
      </c>
      <c r="F4" s="18" t="s">
        <v>14</v>
      </c>
      <c r="G4" s="18" t="s">
        <v>14</v>
      </c>
      <c r="I4" s="21" t="s">
        <v>18</v>
      </c>
      <c r="J4" s="21" t="s">
        <v>17</v>
      </c>
      <c r="K4" s="20" t="s">
        <v>16</v>
      </c>
      <c r="L4" s="19" t="s">
        <v>15</v>
      </c>
      <c r="M4" s="18" t="s">
        <v>14</v>
      </c>
      <c r="N4" s="18" t="s">
        <v>14</v>
      </c>
      <c r="O4" s="18" t="s">
        <v>14</v>
      </c>
      <c r="Q4" s="21" t="s">
        <v>18</v>
      </c>
      <c r="R4" s="21" t="s">
        <v>17</v>
      </c>
      <c r="S4" s="20" t="s">
        <v>16</v>
      </c>
      <c r="T4" s="19" t="s">
        <v>15</v>
      </c>
      <c r="U4" s="18" t="s">
        <v>14</v>
      </c>
      <c r="V4" s="18" t="s">
        <v>14</v>
      </c>
      <c r="W4" s="18" t="s">
        <v>14</v>
      </c>
      <c r="Y4" s="21" t="s">
        <v>18</v>
      </c>
      <c r="Z4" s="21" t="s">
        <v>17</v>
      </c>
      <c r="AA4" s="20" t="s">
        <v>16</v>
      </c>
      <c r="AB4" s="19" t="s">
        <v>15</v>
      </c>
      <c r="AC4" s="18" t="s">
        <v>14</v>
      </c>
      <c r="AD4" s="18" t="s">
        <v>14</v>
      </c>
      <c r="AE4" s="18" t="s">
        <v>14</v>
      </c>
      <c r="AG4" s="21" t="s">
        <v>18</v>
      </c>
      <c r="AH4" s="21" t="s">
        <v>17</v>
      </c>
      <c r="AI4" s="20" t="s">
        <v>16</v>
      </c>
      <c r="AJ4" s="19" t="s">
        <v>15</v>
      </c>
      <c r="AK4" s="18" t="s">
        <v>14</v>
      </c>
      <c r="AL4" s="18" t="s">
        <v>14</v>
      </c>
      <c r="AM4" s="18" t="s">
        <v>14</v>
      </c>
      <c r="AO4" s="21" t="s">
        <v>18</v>
      </c>
      <c r="AP4" s="21" t="s">
        <v>17</v>
      </c>
      <c r="AQ4" s="20" t="s">
        <v>16</v>
      </c>
      <c r="AR4" s="19" t="s">
        <v>15</v>
      </c>
      <c r="AS4" s="18" t="s">
        <v>14</v>
      </c>
      <c r="AT4" s="18" t="s">
        <v>14</v>
      </c>
      <c r="AU4" s="18" t="s">
        <v>14</v>
      </c>
      <c r="AW4" s="21" t="s">
        <v>18</v>
      </c>
      <c r="AX4" s="21" t="s">
        <v>17</v>
      </c>
      <c r="AY4" s="20" t="s">
        <v>16</v>
      </c>
      <c r="AZ4" s="19" t="s">
        <v>15</v>
      </c>
      <c r="BA4" s="18" t="s">
        <v>14</v>
      </c>
      <c r="BB4" s="18" t="s">
        <v>14</v>
      </c>
      <c r="BC4" s="18" t="s">
        <v>14</v>
      </c>
      <c r="BE4" s="21" t="s">
        <v>18</v>
      </c>
      <c r="BF4" s="21" t="s">
        <v>17</v>
      </c>
      <c r="BG4" s="20" t="s">
        <v>16</v>
      </c>
      <c r="BH4" s="19" t="s">
        <v>15</v>
      </c>
      <c r="BI4" s="18" t="s">
        <v>14</v>
      </c>
      <c r="BJ4" s="18" t="s">
        <v>14</v>
      </c>
      <c r="BK4" s="18" t="s">
        <v>14</v>
      </c>
      <c r="BM4" s="21" t="s">
        <v>18</v>
      </c>
      <c r="BN4" s="21" t="s">
        <v>17</v>
      </c>
      <c r="BO4" s="20" t="s">
        <v>16</v>
      </c>
      <c r="BP4" s="19" t="s">
        <v>15</v>
      </c>
      <c r="BQ4" s="18" t="s">
        <v>14</v>
      </c>
      <c r="BR4" s="18" t="s">
        <v>14</v>
      </c>
      <c r="BS4" s="18" t="s">
        <v>14</v>
      </c>
      <c r="BU4" s="21" t="s">
        <v>18</v>
      </c>
      <c r="BV4" s="21" t="s">
        <v>17</v>
      </c>
      <c r="BW4" s="20" t="s">
        <v>16</v>
      </c>
      <c r="BX4" s="19" t="s">
        <v>15</v>
      </c>
      <c r="BY4" s="18" t="s">
        <v>14</v>
      </c>
      <c r="BZ4" s="18" t="s">
        <v>14</v>
      </c>
      <c r="CA4" s="18" t="s">
        <v>14</v>
      </c>
      <c r="CC4" s="21" t="s">
        <v>18</v>
      </c>
      <c r="CD4" s="21" t="s">
        <v>17</v>
      </c>
      <c r="CE4" s="20" t="s">
        <v>16</v>
      </c>
      <c r="CF4" s="19" t="s">
        <v>15</v>
      </c>
      <c r="CG4" s="18" t="s">
        <v>14</v>
      </c>
      <c r="CH4" s="18" t="s">
        <v>14</v>
      </c>
      <c r="CI4" s="18" t="s">
        <v>14</v>
      </c>
      <c r="CK4" s="21" t="s">
        <v>18</v>
      </c>
      <c r="CL4" s="21" t="s">
        <v>17</v>
      </c>
      <c r="CM4" s="20" t="s">
        <v>16</v>
      </c>
      <c r="CN4" s="19" t="s">
        <v>15</v>
      </c>
      <c r="CO4" s="18" t="s">
        <v>14</v>
      </c>
      <c r="CP4" s="18" t="s">
        <v>14</v>
      </c>
      <c r="CQ4" s="18" t="s">
        <v>14</v>
      </c>
      <c r="CS4" s="21" t="s">
        <v>18</v>
      </c>
      <c r="CT4" s="21" t="s">
        <v>17</v>
      </c>
      <c r="CU4" s="20" t="s">
        <v>16</v>
      </c>
      <c r="CV4" s="19" t="s">
        <v>15</v>
      </c>
      <c r="CW4" s="18" t="s">
        <v>14</v>
      </c>
      <c r="CX4" s="18" t="s">
        <v>14</v>
      </c>
      <c r="CY4" s="18" t="s">
        <v>14</v>
      </c>
    </row>
    <row r="5" spans="1:103" s="17" customFormat="1" ht="22" customHeight="1">
      <c r="A5" s="42">
        <v>75</v>
      </c>
      <c r="B5" s="34" t="s">
        <v>20</v>
      </c>
      <c r="C5" s="17">
        <v>19428</v>
      </c>
      <c r="D5" s="39"/>
      <c r="E5" s="40"/>
      <c r="F5" s="40"/>
      <c r="G5" s="40"/>
      <c r="I5" s="42">
        <v>75</v>
      </c>
      <c r="J5" s="34" t="s">
        <v>20</v>
      </c>
      <c r="K5" s="17">
        <v>18704</v>
      </c>
      <c r="L5" s="39"/>
      <c r="M5" s="40"/>
      <c r="N5" s="40"/>
      <c r="O5" s="40"/>
      <c r="Q5" s="42">
        <v>75</v>
      </c>
      <c r="R5" s="34" t="s">
        <v>20</v>
      </c>
      <c r="S5" s="17">
        <v>12510</v>
      </c>
      <c r="T5" s="39"/>
      <c r="U5" s="40"/>
      <c r="V5" s="40"/>
      <c r="W5" s="40"/>
      <c r="Y5" s="42">
        <v>75</v>
      </c>
      <c r="Z5" s="34" t="s">
        <v>20</v>
      </c>
      <c r="AA5" s="17">
        <v>10646</v>
      </c>
      <c r="AB5" s="39"/>
      <c r="AC5" s="40"/>
      <c r="AD5" s="40"/>
      <c r="AE5" s="40"/>
      <c r="AG5" s="42">
        <v>75</v>
      </c>
      <c r="AH5" s="34" t="s">
        <v>20</v>
      </c>
      <c r="AI5" s="17">
        <v>7959</v>
      </c>
      <c r="AJ5" s="39"/>
      <c r="AK5" s="40"/>
      <c r="AL5" s="40"/>
      <c r="AM5" s="40"/>
      <c r="AO5" s="42">
        <v>75</v>
      </c>
      <c r="AP5" s="34" t="s">
        <v>20</v>
      </c>
      <c r="AQ5" s="17">
        <v>8800</v>
      </c>
      <c r="AR5" s="39"/>
      <c r="AS5" s="40"/>
      <c r="AT5" s="40"/>
      <c r="AU5" s="40"/>
      <c r="AW5" s="42">
        <v>75</v>
      </c>
      <c r="AX5" s="34" t="s">
        <v>20</v>
      </c>
      <c r="AY5" s="17">
        <v>8032</v>
      </c>
      <c r="AZ5" s="39"/>
      <c r="BA5" s="40"/>
      <c r="BB5" s="40"/>
      <c r="BC5" s="40"/>
      <c r="BE5" s="42">
        <v>75</v>
      </c>
      <c r="BF5" s="34" t="s">
        <v>20</v>
      </c>
      <c r="BG5" s="17">
        <v>7700</v>
      </c>
      <c r="BH5" s="39"/>
      <c r="BI5" s="40"/>
      <c r="BJ5" s="40"/>
      <c r="BK5" s="40"/>
      <c r="BM5" s="42">
        <v>75</v>
      </c>
      <c r="BN5" s="34" t="s">
        <v>20</v>
      </c>
      <c r="BO5" s="17">
        <v>8248</v>
      </c>
      <c r="BP5" s="39"/>
      <c r="BQ5" s="40"/>
      <c r="BR5" s="40"/>
      <c r="BS5" s="40"/>
      <c r="BU5" s="42">
        <v>75</v>
      </c>
      <c r="BV5" s="34" t="s">
        <v>20</v>
      </c>
      <c r="BW5" s="39">
        <v>8378</v>
      </c>
      <c r="BX5" s="40"/>
      <c r="BY5" s="40"/>
      <c r="BZ5" s="40"/>
      <c r="CB5" s="34"/>
      <c r="CC5" s="42">
        <v>75</v>
      </c>
      <c r="CD5" s="34" t="s">
        <v>20</v>
      </c>
      <c r="CE5" s="39">
        <v>8945</v>
      </c>
      <c r="CF5" s="40"/>
      <c r="CG5" s="40"/>
      <c r="CH5" s="40"/>
      <c r="CJ5" s="34"/>
      <c r="CK5" s="42">
        <v>75</v>
      </c>
      <c r="CL5" s="34" t="s">
        <v>20</v>
      </c>
      <c r="CM5" s="39">
        <v>8350</v>
      </c>
      <c r="CN5" s="40"/>
      <c r="CO5" s="40"/>
      <c r="CP5" s="40"/>
      <c r="CR5" s="34"/>
      <c r="CS5" s="42">
        <v>75</v>
      </c>
      <c r="CT5" s="34" t="s">
        <v>20</v>
      </c>
      <c r="CU5" s="39">
        <v>8529</v>
      </c>
      <c r="CV5" s="39"/>
      <c r="CW5" s="40"/>
      <c r="CX5" s="40"/>
      <c r="CY5" s="40"/>
    </row>
    <row r="6" spans="1:103" s="17" customFormat="1" ht="22" customHeight="1">
      <c r="A6" s="42"/>
      <c r="B6" s="34" t="s">
        <v>21</v>
      </c>
      <c r="C6" s="17">
        <v>41</v>
      </c>
      <c r="D6" s="39"/>
      <c r="E6" s="40"/>
      <c r="F6" s="40"/>
      <c r="G6" s="40"/>
      <c r="I6" s="42"/>
      <c r="J6" s="34" t="s">
        <v>21</v>
      </c>
      <c r="K6" s="17">
        <v>35</v>
      </c>
      <c r="L6" s="39"/>
      <c r="M6" s="40"/>
      <c r="N6" s="40"/>
      <c r="O6" s="40"/>
      <c r="Q6" s="42"/>
      <c r="R6" s="34" t="s">
        <v>21</v>
      </c>
      <c r="S6" s="17">
        <v>27</v>
      </c>
      <c r="T6" s="39"/>
      <c r="U6" s="40"/>
      <c r="V6" s="40"/>
      <c r="W6" s="40"/>
      <c r="Y6" s="42"/>
      <c r="Z6" s="34" t="s">
        <v>21</v>
      </c>
      <c r="AA6" s="17">
        <v>47</v>
      </c>
      <c r="AB6" s="39"/>
      <c r="AC6" s="40"/>
      <c r="AD6" s="40"/>
      <c r="AE6" s="40"/>
      <c r="AG6" s="42"/>
      <c r="AH6" s="34" t="s">
        <v>21</v>
      </c>
      <c r="AI6" s="17">
        <v>31</v>
      </c>
      <c r="AJ6" s="39"/>
      <c r="AK6" s="40"/>
      <c r="AL6" s="40"/>
      <c r="AM6" s="40"/>
      <c r="AO6" s="42"/>
      <c r="AP6" s="34" t="s">
        <v>21</v>
      </c>
      <c r="AQ6" s="17">
        <v>34</v>
      </c>
      <c r="AR6" s="39"/>
      <c r="AS6" s="40"/>
      <c r="AT6" s="40"/>
      <c r="AU6" s="40"/>
      <c r="AW6" s="42"/>
      <c r="AX6" s="34" t="s">
        <v>21</v>
      </c>
      <c r="AY6" s="17">
        <v>31</v>
      </c>
      <c r="AZ6" s="39"/>
      <c r="BA6" s="40"/>
      <c r="BB6" s="40"/>
      <c r="BC6" s="40"/>
      <c r="BE6" s="42"/>
      <c r="BF6" s="34" t="s">
        <v>21</v>
      </c>
      <c r="BG6" s="17">
        <v>15</v>
      </c>
      <c r="BH6" s="39"/>
      <c r="BI6" s="40"/>
      <c r="BJ6" s="40"/>
      <c r="BK6" s="40"/>
      <c r="BM6" s="42"/>
      <c r="BN6" s="34" t="s">
        <v>21</v>
      </c>
      <c r="BO6" s="17">
        <v>29</v>
      </c>
      <c r="BP6" s="39"/>
      <c r="BQ6" s="40"/>
      <c r="BR6" s="40"/>
      <c r="BS6" s="40"/>
      <c r="BU6" s="42"/>
      <c r="BV6" s="34" t="s">
        <v>21</v>
      </c>
      <c r="BW6" s="39">
        <v>26</v>
      </c>
      <c r="BX6" s="40"/>
      <c r="BY6" s="40"/>
      <c r="BZ6" s="40"/>
      <c r="CB6" s="34"/>
      <c r="CC6" s="42"/>
      <c r="CD6" s="34" t="s">
        <v>21</v>
      </c>
      <c r="CE6" s="39">
        <v>15</v>
      </c>
      <c r="CF6" s="40"/>
      <c r="CG6" s="40"/>
      <c r="CH6" s="40"/>
      <c r="CJ6" s="34"/>
      <c r="CK6" s="42"/>
      <c r="CL6" s="34" t="s">
        <v>21</v>
      </c>
      <c r="CM6" s="39">
        <v>24</v>
      </c>
      <c r="CN6" s="40"/>
      <c r="CO6" s="40"/>
      <c r="CP6" s="40"/>
      <c r="CR6" s="34"/>
      <c r="CS6" s="42"/>
      <c r="CT6" s="34" t="s">
        <v>21</v>
      </c>
      <c r="CU6" s="39">
        <v>26</v>
      </c>
      <c r="CV6" s="39"/>
      <c r="CW6" s="40"/>
      <c r="CX6" s="40"/>
      <c r="CY6" s="40"/>
    </row>
    <row r="7" spans="1:103" s="12" customFormat="1" ht="20" customHeight="1">
      <c r="A7" s="16"/>
      <c r="B7" s="15" t="s">
        <v>10</v>
      </c>
      <c r="C7" s="12">
        <v>464</v>
      </c>
      <c r="D7" s="14">
        <v>536549.52380811993</v>
      </c>
      <c r="F7" s="14"/>
      <c r="G7" s="13"/>
      <c r="I7" s="16"/>
      <c r="J7" s="15" t="s">
        <v>10</v>
      </c>
      <c r="K7" s="12">
        <v>537</v>
      </c>
      <c r="L7" s="14">
        <v>606194.28571283969</v>
      </c>
      <c r="M7" s="12">
        <f t="shared" ref="M7:M16" si="0">K7-C7</f>
        <v>73</v>
      </c>
      <c r="N7" s="14">
        <f t="shared" ref="N7:N16" si="1">L7-D7</f>
        <v>69644.761904719751</v>
      </c>
      <c r="O7" s="13">
        <f t="shared" ref="O7:O16" si="2">(L7-D7)/D7</f>
        <v>0.12980118109214092</v>
      </c>
      <c r="Q7" s="16"/>
      <c r="R7" s="15" t="s">
        <v>10</v>
      </c>
      <c r="S7" s="12">
        <v>332</v>
      </c>
      <c r="T7" s="14">
        <v>402879.04761803005</v>
      </c>
      <c r="U7" s="12">
        <f t="shared" ref="U7:U16" si="3">S7-K7</f>
        <v>-205</v>
      </c>
      <c r="V7" s="14">
        <f t="shared" ref="V7:V16" si="4">T7-L7</f>
        <v>-203315.23809480964</v>
      </c>
      <c r="W7" s="13">
        <f t="shared" ref="W7:W16" si="5">(T7-L7)/L7</f>
        <v>-0.3353961640461951</v>
      </c>
      <c r="Y7" s="16"/>
      <c r="Z7" s="15" t="s">
        <v>10</v>
      </c>
      <c r="AA7" s="12">
        <v>265</v>
      </c>
      <c r="AB7" s="14">
        <v>320488.57142764016</v>
      </c>
      <c r="AC7" s="14">
        <f t="shared" ref="AC7:AC16" si="6">AA7-S7</f>
        <v>-67</v>
      </c>
      <c r="AD7" s="14">
        <f t="shared" ref="AD7:AD16" si="7">AB7-T7</f>
        <v>-82390.476190389891</v>
      </c>
      <c r="AE7" s="13">
        <f t="shared" ref="AE7:AE16" si="8">(AB7-T7)/T7</f>
        <v>-0.20450424681430535</v>
      </c>
      <c r="AG7" s="16"/>
      <c r="AH7" s="15" t="s">
        <v>10</v>
      </c>
      <c r="AI7" s="12">
        <v>175</v>
      </c>
      <c r="AJ7" s="14">
        <v>193366.66666605996</v>
      </c>
      <c r="AK7" s="12">
        <f t="shared" ref="AK7:AK16" si="9">AI7-AA7</f>
        <v>-90</v>
      </c>
      <c r="AL7" s="14">
        <f t="shared" ref="AL7:AL16" si="10">AJ7-AB7</f>
        <v>-127121.9047615802</v>
      </c>
      <c r="AM7" s="13">
        <f t="shared" ref="AM7:AM16" si="11">(AJ7-AB7)/AB7</f>
        <v>-0.39665035228965023</v>
      </c>
      <c r="AO7" s="16"/>
      <c r="AP7" s="15" t="s">
        <v>10</v>
      </c>
      <c r="AQ7" s="12">
        <v>253</v>
      </c>
      <c r="AR7" s="14">
        <v>296839.04761828005</v>
      </c>
      <c r="AS7" s="12">
        <f t="shared" ref="AS7:AS16" si="12">AQ7-AI7</f>
        <v>78</v>
      </c>
      <c r="AT7" s="14">
        <f t="shared" ref="AT7:AT16" si="13">AR7-AJ7</f>
        <v>103472.38095222009</v>
      </c>
      <c r="AU7" s="13">
        <f t="shared" ref="AU7:AU16" si="14">(AR7-AJ7)/AJ7</f>
        <v>0.53510971014934361</v>
      </c>
      <c r="AW7" s="16"/>
      <c r="AX7" s="15" t="s">
        <v>10</v>
      </c>
      <c r="AY7" s="12">
        <v>193</v>
      </c>
      <c r="AZ7" s="14">
        <v>242325.71428503003</v>
      </c>
      <c r="BA7" s="12">
        <f t="shared" ref="BA7:BA16" si="15">AY7-AQ7</f>
        <v>-60</v>
      </c>
      <c r="BB7" s="14">
        <f t="shared" ref="BB7:BB16" si="16">AZ7-AR7</f>
        <v>-54513.333333250019</v>
      </c>
      <c r="BC7" s="13">
        <f t="shared" ref="BC7:BC16" si="17">(AZ7-AR7)/AR7</f>
        <v>-0.18364609969828297</v>
      </c>
      <c r="BE7" s="16"/>
      <c r="BF7" s="15" t="s">
        <v>10</v>
      </c>
      <c r="BG7" s="12">
        <v>195</v>
      </c>
      <c r="BH7" s="14">
        <v>250022.8571421699</v>
      </c>
      <c r="BI7" s="12">
        <f t="shared" ref="BI7:BI16" si="18">BG7-AY7</f>
        <v>2</v>
      </c>
      <c r="BJ7" s="14">
        <f t="shared" ref="BJ7:BJ16" si="19">BH7-AZ7</f>
        <v>7697.1428571398719</v>
      </c>
      <c r="BK7" s="13">
        <f t="shared" ref="BK7:BK16" si="20">(BH7-AZ7)/AZ7</f>
        <v>3.1763623930088927E-2</v>
      </c>
      <c r="BL7" s="35"/>
      <c r="BM7" s="16"/>
      <c r="BN7" s="15" t="s">
        <v>10</v>
      </c>
      <c r="BO7" s="12">
        <v>230</v>
      </c>
      <c r="BP7" s="14">
        <v>271799.99999925983</v>
      </c>
      <c r="BQ7" s="12">
        <f t="shared" ref="BQ7:BQ16" si="21">BO7-BG7</f>
        <v>35</v>
      </c>
      <c r="BR7" s="14">
        <f t="shared" ref="BR7:BR16" si="22">BP7-BH7</f>
        <v>21777.14285708993</v>
      </c>
      <c r="BS7" s="13">
        <f t="shared" ref="BS7:BS16" si="23">(BP7-BH7)/BH7</f>
        <v>8.7100607944444242E-2</v>
      </c>
      <c r="BU7" s="16"/>
      <c r="BV7" s="15" t="s">
        <v>10</v>
      </c>
      <c r="BW7" s="12">
        <v>247</v>
      </c>
      <c r="BX7" s="14">
        <v>269372.38095167017</v>
      </c>
      <c r="BY7" s="12">
        <f t="shared" ref="BY7:BY16" si="24">BW7-BO7</f>
        <v>17</v>
      </c>
      <c r="BZ7" s="14">
        <f t="shared" ref="BZ7:BZ16" si="25">BX7-BP7</f>
        <v>-2427.6190475896583</v>
      </c>
      <c r="CA7" s="13">
        <f t="shared" ref="CA7:CA16" si="26">(BX7-BP7)/BP7</f>
        <v>-8.931637408374795E-3</v>
      </c>
      <c r="CC7" s="16"/>
      <c r="CD7" s="15" t="s">
        <v>10</v>
      </c>
      <c r="CE7" s="12">
        <v>219</v>
      </c>
      <c r="CF7" s="14">
        <v>250191.42857075011</v>
      </c>
      <c r="CG7" s="12">
        <f t="shared" ref="CG7:CG16" si="27">CE7-BW7</f>
        <v>-28</v>
      </c>
      <c r="CH7" s="14">
        <f t="shared" ref="CH7:CH16" si="28">CF7-BX7</f>
        <v>-19180.952380920062</v>
      </c>
      <c r="CI7" s="13">
        <f t="shared" ref="CI7:CI16" si="29">(CF7-BX7)/BX7</f>
        <v>-7.1206083983648791E-2</v>
      </c>
      <c r="CK7" s="16"/>
      <c r="CL7" s="15" t="s">
        <v>10</v>
      </c>
      <c r="CM7" s="12">
        <v>238</v>
      </c>
      <c r="CN7" s="14">
        <v>257743.80952302006</v>
      </c>
      <c r="CO7" s="12">
        <f t="shared" ref="CO7:CO16" si="30">CM7-CE7</f>
        <v>19</v>
      </c>
      <c r="CP7" s="14">
        <f t="shared" ref="CP7:CP16" si="31">CN7-CF7</f>
        <v>7552.3809522699448</v>
      </c>
      <c r="CQ7" s="13">
        <f t="shared" ref="CQ7:CQ16" si="32">(CN7-CF7)/CF7</f>
        <v>3.0186409644062818E-2</v>
      </c>
      <c r="CS7" s="16"/>
      <c r="CT7" s="15" t="s">
        <v>10</v>
      </c>
      <c r="CU7" s="12">
        <v>244</v>
      </c>
      <c r="CV7" s="14">
        <v>324950.47618962004</v>
      </c>
      <c r="CW7" s="12">
        <f t="shared" ref="CW7:CW16" si="33">CU7-CM7</f>
        <v>6</v>
      </c>
      <c r="CX7" s="14">
        <f t="shared" ref="CX7:CX16" si="34">CV7-CN7</f>
        <v>67206.66666659998</v>
      </c>
      <c r="CY7" s="13">
        <f t="shared" ref="CY7:CY16" si="35">(CV7-CN7)/CN7</f>
        <v>0.26074987713952252</v>
      </c>
    </row>
    <row r="8" spans="1:103" s="12" customFormat="1" ht="20" customHeight="1">
      <c r="A8" s="16"/>
      <c r="B8" s="15" t="s">
        <v>9</v>
      </c>
      <c r="C8" s="12">
        <v>520</v>
      </c>
      <c r="D8" s="14">
        <v>827316.19047588017</v>
      </c>
      <c r="F8" s="14"/>
      <c r="G8" s="13"/>
      <c r="I8" s="16"/>
      <c r="J8" s="15" t="s">
        <v>9</v>
      </c>
      <c r="K8" s="12">
        <v>653</v>
      </c>
      <c r="L8" s="14">
        <v>1007716.19047585</v>
      </c>
      <c r="M8" s="12">
        <f t="shared" si="0"/>
        <v>133</v>
      </c>
      <c r="N8" s="14">
        <f t="shared" si="1"/>
        <v>180399.99999996985</v>
      </c>
      <c r="O8" s="13">
        <f t="shared" si="2"/>
        <v>0.21805447793328214</v>
      </c>
      <c r="Q8" s="16"/>
      <c r="R8" s="15" t="s">
        <v>9</v>
      </c>
      <c r="S8" s="12">
        <v>523</v>
      </c>
      <c r="T8" s="14">
        <v>656323.80952356011</v>
      </c>
      <c r="U8" s="12">
        <f t="shared" si="3"/>
        <v>-130</v>
      </c>
      <c r="V8" s="14">
        <f t="shared" si="4"/>
        <v>-351392.38095228991</v>
      </c>
      <c r="W8" s="13">
        <f t="shared" si="5"/>
        <v>-0.3487017319691571</v>
      </c>
      <c r="Y8" s="16"/>
      <c r="Z8" s="15" t="s">
        <v>9</v>
      </c>
      <c r="AA8" s="12">
        <v>385</v>
      </c>
      <c r="AB8" s="14">
        <v>540266.66666642984</v>
      </c>
      <c r="AC8" s="14">
        <f t="shared" si="6"/>
        <v>-138</v>
      </c>
      <c r="AD8" s="14">
        <f t="shared" si="7"/>
        <v>-116057.14285713027</v>
      </c>
      <c r="AE8" s="13">
        <f t="shared" si="8"/>
        <v>-0.17682909133127245</v>
      </c>
      <c r="AG8" s="16"/>
      <c r="AH8" s="15" t="s">
        <v>9</v>
      </c>
      <c r="AI8" s="12">
        <v>348</v>
      </c>
      <c r="AJ8" s="14">
        <v>402652.38095215993</v>
      </c>
      <c r="AK8" s="12">
        <f t="shared" si="9"/>
        <v>-37</v>
      </c>
      <c r="AL8" s="14">
        <f t="shared" si="10"/>
        <v>-137614.28571426991</v>
      </c>
      <c r="AM8" s="13">
        <f t="shared" si="11"/>
        <v>-0.25471548441694886</v>
      </c>
      <c r="AO8" s="16"/>
      <c r="AP8" s="15" t="s">
        <v>9</v>
      </c>
      <c r="AQ8" s="12">
        <v>419</v>
      </c>
      <c r="AR8" s="14">
        <v>594011.4285711603</v>
      </c>
      <c r="AS8" s="12">
        <f t="shared" si="12"/>
        <v>71</v>
      </c>
      <c r="AT8" s="14">
        <f t="shared" si="13"/>
        <v>191359.04761900037</v>
      </c>
      <c r="AU8" s="13">
        <f t="shared" si="14"/>
        <v>0.47524628357217186</v>
      </c>
      <c r="AW8" s="16"/>
      <c r="AX8" s="15" t="s">
        <v>9</v>
      </c>
      <c r="AY8" s="12">
        <v>412</v>
      </c>
      <c r="AZ8" s="14">
        <v>515314.28571410006</v>
      </c>
      <c r="BA8" s="12">
        <f t="shared" si="15"/>
        <v>-7</v>
      </c>
      <c r="BB8" s="14">
        <f t="shared" si="16"/>
        <v>-78697.142857060244</v>
      </c>
      <c r="BC8" s="13">
        <f t="shared" si="17"/>
        <v>-0.13248422348768435</v>
      </c>
      <c r="BE8" s="16"/>
      <c r="BF8" s="15" t="s">
        <v>9</v>
      </c>
      <c r="BG8" s="12">
        <v>304</v>
      </c>
      <c r="BH8" s="14">
        <v>389562.85714261996</v>
      </c>
      <c r="BI8" s="12">
        <f t="shared" si="18"/>
        <v>-108</v>
      </c>
      <c r="BJ8" s="14">
        <f t="shared" si="19"/>
        <v>-125751.42857148009</v>
      </c>
      <c r="BK8" s="13">
        <f t="shared" si="20"/>
        <v>-0.24402860944795904</v>
      </c>
      <c r="BL8" s="35"/>
      <c r="BM8" s="16"/>
      <c r="BN8" s="15" t="s">
        <v>9</v>
      </c>
      <c r="BO8" s="12">
        <v>367</v>
      </c>
      <c r="BP8" s="14">
        <v>501105.71428548993</v>
      </c>
      <c r="BQ8" s="12">
        <f t="shared" si="21"/>
        <v>63</v>
      </c>
      <c r="BR8" s="14">
        <f t="shared" si="22"/>
        <v>111542.85714286997</v>
      </c>
      <c r="BS8" s="13">
        <f t="shared" si="23"/>
        <v>0.28632826538191714</v>
      </c>
      <c r="BU8" s="16"/>
      <c r="BV8" s="15" t="s">
        <v>9</v>
      </c>
      <c r="BW8" s="12">
        <v>378</v>
      </c>
      <c r="BX8" s="14">
        <v>448752.38095213991</v>
      </c>
      <c r="BY8" s="12">
        <f t="shared" si="24"/>
        <v>11</v>
      </c>
      <c r="BZ8" s="14">
        <f t="shared" si="25"/>
        <v>-52353.33333335002</v>
      </c>
      <c r="CA8" s="13">
        <f t="shared" si="26"/>
        <v>-0.10447562628176953</v>
      </c>
      <c r="CC8" s="16"/>
      <c r="CD8" s="15" t="s">
        <v>9</v>
      </c>
      <c r="CE8" s="12">
        <v>369</v>
      </c>
      <c r="CF8" s="14">
        <v>542762.85714258999</v>
      </c>
      <c r="CG8" s="12">
        <f t="shared" si="27"/>
        <v>-9</v>
      </c>
      <c r="CH8" s="14">
        <f t="shared" si="28"/>
        <v>94010.476190450077</v>
      </c>
      <c r="CI8" s="13">
        <f t="shared" si="29"/>
        <v>0.20949298584440587</v>
      </c>
      <c r="CK8" s="16"/>
      <c r="CL8" s="15" t="s">
        <v>9</v>
      </c>
      <c r="CM8" s="12">
        <v>411</v>
      </c>
      <c r="CN8" s="14">
        <v>538704.76190447016</v>
      </c>
      <c r="CO8" s="12">
        <f t="shared" si="30"/>
        <v>42</v>
      </c>
      <c r="CP8" s="14">
        <f t="shared" si="31"/>
        <v>-4058.0952381198294</v>
      </c>
      <c r="CQ8" s="13">
        <f t="shared" si="32"/>
        <v>-7.4767371877359724E-3</v>
      </c>
      <c r="CS8" s="16"/>
      <c r="CT8" s="15" t="s">
        <v>9</v>
      </c>
      <c r="CU8" s="12">
        <v>375</v>
      </c>
      <c r="CV8" s="14">
        <v>622386.66666646011</v>
      </c>
      <c r="CW8" s="12">
        <f t="shared" si="33"/>
        <v>-36</v>
      </c>
      <c r="CX8" s="14">
        <f t="shared" si="34"/>
        <v>83681.90476198995</v>
      </c>
      <c r="CY8" s="13">
        <f t="shared" si="35"/>
        <v>0.15533908493058665</v>
      </c>
    </row>
    <row r="9" spans="1:103" s="12" customFormat="1" ht="20" customHeight="1">
      <c r="A9" s="16"/>
      <c r="B9" s="15" t="s">
        <v>8</v>
      </c>
      <c r="C9" s="12">
        <v>97</v>
      </c>
      <c r="D9" s="14">
        <v>647171.42857141001</v>
      </c>
      <c r="F9" s="14"/>
      <c r="G9" s="13"/>
      <c r="I9" s="16"/>
      <c r="J9" s="15" t="s">
        <v>8</v>
      </c>
      <c r="K9" s="12">
        <v>79</v>
      </c>
      <c r="L9" s="14">
        <v>572104.76190475002</v>
      </c>
      <c r="M9" s="12">
        <f t="shared" si="0"/>
        <v>-18</v>
      </c>
      <c r="N9" s="14">
        <f t="shared" si="1"/>
        <v>-75066.666666659992</v>
      </c>
      <c r="O9" s="13">
        <f t="shared" si="2"/>
        <v>-0.11599193560254184</v>
      </c>
      <c r="Q9" s="16"/>
      <c r="R9" s="15" t="s">
        <v>8</v>
      </c>
      <c r="S9" s="12">
        <v>68</v>
      </c>
      <c r="T9" s="14">
        <v>603161.90476188995</v>
      </c>
      <c r="U9" s="12">
        <f t="shared" si="3"/>
        <v>-11</v>
      </c>
      <c r="V9" s="14">
        <f t="shared" si="4"/>
        <v>31057.14285713993</v>
      </c>
      <c r="W9" s="13">
        <f t="shared" si="5"/>
        <v>5.4285761848475313E-2</v>
      </c>
      <c r="Y9" s="16"/>
      <c r="Z9" s="15" t="s">
        <v>8</v>
      </c>
      <c r="AA9" s="12">
        <v>61</v>
      </c>
      <c r="AB9" s="14">
        <v>574180.95238092996</v>
      </c>
      <c r="AC9" s="14">
        <f t="shared" si="6"/>
        <v>-7</v>
      </c>
      <c r="AD9" s="14">
        <f t="shared" si="7"/>
        <v>-28980.952380959992</v>
      </c>
      <c r="AE9" s="13">
        <f t="shared" si="8"/>
        <v>-4.8048379965907821E-2</v>
      </c>
      <c r="AG9" s="16"/>
      <c r="AH9" s="15" t="s">
        <v>8</v>
      </c>
      <c r="AI9" s="12">
        <v>40</v>
      </c>
      <c r="AJ9" s="14">
        <v>334857.14285713003</v>
      </c>
      <c r="AK9" s="12">
        <f t="shared" si="9"/>
        <v>-21</v>
      </c>
      <c r="AL9" s="14">
        <f t="shared" si="10"/>
        <v>-239323.80952379992</v>
      </c>
      <c r="AM9" s="13">
        <f t="shared" si="11"/>
        <v>-0.41680903647431494</v>
      </c>
      <c r="AO9" s="16"/>
      <c r="AP9" s="15" t="s">
        <v>8</v>
      </c>
      <c r="AQ9" s="12">
        <v>48</v>
      </c>
      <c r="AR9" s="14">
        <v>412399.99999997998</v>
      </c>
      <c r="AS9" s="12">
        <f t="shared" si="12"/>
        <v>8</v>
      </c>
      <c r="AT9" s="14">
        <f t="shared" si="13"/>
        <v>77542.857142849942</v>
      </c>
      <c r="AU9" s="13">
        <f t="shared" si="14"/>
        <v>0.23156996587029452</v>
      </c>
      <c r="AW9" s="16"/>
      <c r="AX9" s="15" t="s">
        <v>8</v>
      </c>
      <c r="AY9" s="12">
        <v>60</v>
      </c>
      <c r="AZ9" s="14">
        <v>537999.99999998999</v>
      </c>
      <c r="BA9" s="12">
        <f t="shared" si="15"/>
        <v>12</v>
      </c>
      <c r="BB9" s="14">
        <f t="shared" si="16"/>
        <v>125600.00000001001</v>
      </c>
      <c r="BC9" s="13">
        <f t="shared" si="17"/>
        <v>0.30455868089237659</v>
      </c>
      <c r="BE9" s="16"/>
      <c r="BF9" s="15" t="s">
        <v>8</v>
      </c>
      <c r="BG9" s="12">
        <v>50</v>
      </c>
      <c r="BH9" s="14">
        <v>406666.66666665999</v>
      </c>
      <c r="BI9" s="12">
        <f t="shared" si="18"/>
        <v>-10</v>
      </c>
      <c r="BJ9" s="14">
        <f t="shared" si="19"/>
        <v>-131333.33333333</v>
      </c>
      <c r="BK9" s="13">
        <f t="shared" si="20"/>
        <v>-0.24411400247831308</v>
      </c>
      <c r="BL9" s="35"/>
      <c r="BM9" s="16"/>
      <c r="BN9" s="15" t="s">
        <v>8</v>
      </c>
      <c r="BO9" s="12">
        <v>49</v>
      </c>
      <c r="BP9" s="14">
        <v>409533.33333331998</v>
      </c>
      <c r="BQ9" s="12">
        <f t="shared" si="21"/>
        <v>-1</v>
      </c>
      <c r="BR9" s="14">
        <f t="shared" si="22"/>
        <v>2866.6666666599922</v>
      </c>
      <c r="BS9" s="13">
        <f t="shared" si="23"/>
        <v>7.0491803278525554E-3</v>
      </c>
      <c r="BU9" s="16"/>
      <c r="BV9" s="15" t="s">
        <v>8</v>
      </c>
      <c r="BW9" s="12">
        <v>182</v>
      </c>
      <c r="BX9" s="14">
        <v>1160554.2857142601</v>
      </c>
      <c r="BY9" s="12">
        <f t="shared" si="24"/>
        <v>133</v>
      </c>
      <c r="BZ9" s="14">
        <f t="shared" si="25"/>
        <v>751020.95238094009</v>
      </c>
      <c r="CA9" s="13">
        <f t="shared" si="26"/>
        <v>1.8338457245180642</v>
      </c>
      <c r="CC9" s="16"/>
      <c r="CD9" s="15" t="s">
        <v>8</v>
      </c>
      <c r="CE9" s="12">
        <v>239</v>
      </c>
      <c r="CF9" s="14">
        <v>1484866.66666665</v>
      </c>
      <c r="CG9" s="12">
        <f t="shared" si="27"/>
        <v>57</v>
      </c>
      <c r="CH9" s="14">
        <f t="shared" si="28"/>
        <v>324312.38095238991</v>
      </c>
      <c r="CI9" s="13">
        <f t="shared" si="29"/>
        <v>0.27944611031511785</v>
      </c>
      <c r="CK9" s="16"/>
      <c r="CL9" s="15" t="s">
        <v>8</v>
      </c>
      <c r="CM9" s="12">
        <v>147</v>
      </c>
      <c r="CN9" s="14">
        <v>992885.71428568999</v>
      </c>
      <c r="CO9" s="12">
        <f t="shared" si="30"/>
        <v>-92</v>
      </c>
      <c r="CP9" s="14">
        <f t="shared" si="31"/>
        <v>-491980.95238095999</v>
      </c>
      <c r="CQ9" s="13">
        <f t="shared" si="32"/>
        <v>-0.33133005368448271</v>
      </c>
      <c r="CS9" s="16"/>
      <c r="CT9" s="15" t="s">
        <v>8</v>
      </c>
      <c r="CU9" s="12">
        <v>171</v>
      </c>
      <c r="CV9" s="14">
        <v>1168371.42857141</v>
      </c>
      <c r="CW9" s="12">
        <f t="shared" si="33"/>
        <v>24</v>
      </c>
      <c r="CX9" s="14">
        <f t="shared" si="34"/>
        <v>175485.71428572002</v>
      </c>
      <c r="CY9" s="13">
        <f t="shared" si="35"/>
        <v>0.17674311530604447</v>
      </c>
    </row>
    <row r="10" spans="1:103" s="12" customFormat="1" ht="20" customHeight="1">
      <c r="A10" s="16"/>
      <c r="B10" s="15" t="s">
        <v>7</v>
      </c>
      <c r="C10" s="12">
        <v>160</v>
      </c>
      <c r="D10" s="14">
        <v>2230761.9047616706</v>
      </c>
      <c r="F10" s="14"/>
      <c r="G10" s="13"/>
      <c r="I10" s="16"/>
      <c r="J10" s="15" t="s">
        <v>7</v>
      </c>
      <c r="K10" s="12">
        <v>180</v>
      </c>
      <c r="L10" s="14">
        <v>2542380.9523807694</v>
      </c>
      <c r="M10" s="12">
        <f t="shared" si="0"/>
        <v>20</v>
      </c>
      <c r="N10" s="14">
        <f t="shared" si="1"/>
        <v>311619.0476190988</v>
      </c>
      <c r="O10" s="13">
        <f t="shared" si="2"/>
        <v>0.13969175596639546</v>
      </c>
      <c r="Q10" s="16"/>
      <c r="R10" s="15" t="s">
        <v>7</v>
      </c>
      <c r="S10" s="12">
        <v>82</v>
      </c>
      <c r="T10" s="14">
        <v>1096380.95238086</v>
      </c>
      <c r="U10" s="12">
        <f t="shared" si="3"/>
        <v>-98</v>
      </c>
      <c r="V10" s="14">
        <f t="shared" si="4"/>
        <v>-1445999.9999999094</v>
      </c>
      <c r="W10" s="13">
        <f t="shared" si="5"/>
        <v>-0.56875819441843567</v>
      </c>
      <c r="Y10" s="16"/>
      <c r="Z10" s="15" t="s">
        <v>7</v>
      </c>
      <c r="AA10" s="12">
        <v>40</v>
      </c>
      <c r="AB10" s="14">
        <v>616285.71428564005</v>
      </c>
      <c r="AC10" s="14">
        <f t="shared" si="6"/>
        <v>-42</v>
      </c>
      <c r="AD10" s="14">
        <f t="shared" si="7"/>
        <v>-480095.23809521995</v>
      </c>
      <c r="AE10" s="13">
        <f t="shared" si="8"/>
        <v>-0.43789089645589246</v>
      </c>
      <c r="AG10" s="16"/>
      <c r="AH10" s="15" t="s">
        <v>7</v>
      </c>
      <c r="AI10" s="12">
        <v>32</v>
      </c>
      <c r="AJ10" s="14">
        <v>437619.04761896998</v>
      </c>
      <c r="AK10" s="12">
        <f t="shared" si="9"/>
        <v>-8</v>
      </c>
      <c r="AL10" s="14">
        <f t="shared" si="10"/>
        <v>-178666.66666667006</v>
      </c>
      <c r="AM10" s="13">
        <f t="shared" si="11"/>
        <v>-0.28990882398396872</v>
      </c>
      <c r="AO10" s="16"/>
      <c r="AP10" s="15" t="s">
        <v>7</v>
      </c>
      <c r="AQ10" s="12">
        <v>57</v>
      </c>
      <c r="AR10" s="14">
        <v>678476.19047610986</v>
      </c>
      <c r="AS10" s="12">
        <f t="shared" si="12"/>
        <v>25</v>
      </c>
      <c r="AT10" s="14">
        <f t="shared" si="13"/>
        <v>240857.14285713987</v>
      </c>
      <c r="AU10" s="13">
        <f t="shared" si="14"/>
        <v>0.55038084874873061</v>
      </c>
      <c r="AW10" s="16"/>
      <c r="AX10" s="15" t="s">
        <v>7</v>
      </c>
      <c r="AY10" s="12">
        <v>40</v>
      </c>
      <c r="AZ10" s="14">
        <v>584190.47619039007</v>
      </c>
      <c r="BA10" s="12">
        <f t="shared" si="15"/>
        <v>-17</v>
      </c>
      <c r="BB10" s="14">
        <f t="shared" si="16"/>
        <v>-94285.71428571979</v>
      </c>
      <c r="BC10" s="13">
        <f t="shared" si="17"/>
        <v>-0.13896687254353951</v>
      </c>
      <c r="BE10" s="16"/>
      <c r="BF10" s="15" t="s">
        <v>7</v>
      </c>
      <c r="BG10" s="12">
        <v>64</v>
      </c>
      <c r="BH10" s="14">
        <v>917232.38095230004</v>
      </c>
      <c r="BI10" s="12">
        <f t="shared" si="18"/>
        <v>24</v>
      </c>
      <c r="BJ10" s="14">
        <f t="shared" si="19"/>
        <v>333041.90476190997</v>
      </c>
      <c r="BK10" s="13">
        <f t="shared" si="20"/>
        <v>0.57009129442461204</v>
      </c>
      <c r="BL10" s="35"/>
      <c r="BM10" s="16"/>
      <c r="BN10" s="15" t="s">
        <v>7</v>
      </c>
      <c r="BO10" s="12">
        <v>58</v>
      </c>
      <c r="BP10" s="14">
        <v>815228.57142848021</v>
      </c>
      <c r="BQ10" s="12">
        <f t="shared" si="21"/>
        <v>-6</v>
      </c>
      <c r="BR10" s="14">
        <f t="shared" si="22"/>
        <v>-102003.80952381983</v>
      </c>
      <c r="BS10" s="13">
        <f t="shared" si="23"/>
        <v>-0.1112082517386883</v>
      </c>
      <c r="BU10" s="16"/>
      <c r="BV10" s="15" t="s">
        <v>7</v>
      </c>
      <c r="BW10" s="12">
        <v>66</v>
      </c>
      <c r="BX10" s="14">
        <v>898472.38095228001</v>
      </c>
      <c r="BY10" s="12">
        <f t="shared" si="24"/>
        <v>8</v>
      </c>
      <c r="BZ10" s="14">
        <f t="shared" si="25"/>
        <v>83243.809523799806</v>
      </c>
      <c r="CA10" s="13">
        <f t="shared" si="26"/>
        <v>0.10211100596969541</v>
      </c>
      <c r="CC10" s="16"/>
      <c r="CD10" s="15" t="s">
        <v>7</v>
      </c>
      <c r="CE10" s="12">
        <v>54</v>
      </c>
      <c r="CF10" s="14">
        <v>734285.71428565006</v>
      </c>
      <c r="CG10" s="12">
        <f t="shared" si="27"/>
        <v>-12</v>
      </c>
      <c r="CH10" s="14">
        <f t="shared" si="28"/>
        <v>-164186.66666662996</v>
      </c>
      <c r="CI10" s="13">
        <f t="shared" si="29"/>
        <v>-0.18273980385753261</v>
      </c>
      <c r="CK10" s="16"/>
      <c r="CL10" s="15" t="s">
        <v>7</v>
      </c>
      <c r="CM10" s="12">
        <v>70</v>
      </c>
      <c r="CN10" s="14">
        <v>931382.85714274005</v>
      </c>
      <c r="CO10" s="12">
        <f t="shared" si="30"/>
        <v>16</v>
      </c>
      <c r="CP10" s="14">
        <f t="shared" si="31"/>
        <v>197097.14285708999</v>
      </c>
      <c r="CQ10" s="13">
        <f t="shared" si="32"/>
        <v>0.26842023346298649</v>
      </c>
      <c r="CS10" s="16"/>
      <c r="CT10" s="15" t="s">
        <v>7</v>
      </c>
      <c r="CU10" s="12">
        <v>63</v>
      </c>
      <c r="CV10" s="14">
        <v>910076.19047608005</v>
      </c>
      <c r="CW10" s="12">
        <f t="shared" si="33"/>
        <v>-7</v>
      </c>
      <c r="CX10" s="14">
        <f t="shared" si="34"/>
        <v>-21306.666666659992</v>
      </c>
      <c r="CY10" s="13">
        <f t="shared" si="35"/>
        <v>-2.2876378390755174E-2</v>
      </c>
    </row>
    <row r="11" spans="1:103" s="12" customFormat="1" ht="20" customHeight="1">
      <c r="A11" s="16"/>
      <c r="B11" s="15" t="s">
        <v>6</v>
      </c>
      <c r="C11" s="12">
        <v>20</v>
      </c>
      <c r="D11" s="14">
        <v>80742.857142830006</v>
      </c>
      <c r="F11" s="14"/>
      <c r="G11" s="13"/>
      <c r="I11" s="16"/>
      <c r="J11" s="15" t="s">
        <v>6</v>
      </c>
      <c r="K11" s="12">
        <v>18</v>
      </c>
      <c r="L11" s="14">
        <v>84628.571428530006</v>
      </c>
      <c r="M11" s="12">
        <f t="shared" si="0"/>
        <v>-2</v>
      </c>
      <c r="N11" s="14">
        <f t="shared" si="1"/>
        <v>3885.7142856999999</v>
      </c>
      <c r="O11" s="13">
        <f t="shared" si="2"/>
        <v>4.8124557678537051E-2</v>
      </c>
      <c r="Q11" s="16"/>
      <c r="R11" s="15" t="s">
        <v>6</v>
      </c>
      <c r="S11" s="12">
        <v>4</v>
      </c>
      <c r="T11" s="14">
        <v>20076.19047618</v>
      </c>
      <c r="U11" s="12">
        <f t="shared" si="3"/>
        <v>-14</v>
      </c>
      <c r="V11" s="14">
        <f t="shared" si="4"/>
        <v>-64552.380952350009</v>
      </c>
      <c r="W11" s="13">
        <f t="shared" si="5"/>
        <v>-0.76277290119289543</v>
      </c>
      <c r="Y11" s="16"/>
      <c r="Z11" s="15" t="s">
        <v>6</v>
      </c>
      <c r="AA11" s="12">
        <v>9</v>
      </c>
      <c r="AB11" s="14">
        <v>37114.285714259997</v>
      </c>
      <c r="AC11" s="14">
        <f t="shared" si="6"/>
        <v>5</v>
      </c>
      <c r="AD11" s="14">
        <f t="shared" si="7"/>
        <v>17038.095238079997</v>
      </c>
      <c r="AE11" s="13">
        <f t="shared" si="8"/>
        <v>0.84867172675490188</v>
      </c>
      <c r="AG11" s="16"/>
      <c r="AH11" s="15" t="s">
        <v>6</v>
      </c>
      <c r="AI11" s="12">
        <v>5</v>
      </c>
      <c r="AJ11" s="14">
        <v>20285.7142857</v>
      </c>
      <c r="AK11" s="12">
        <f t="shared" si="9"/>
        <v>-4</v>
      </c>
      <c r="AL11" s="14">
        <f t="shared" si="10"/>
        <v>-16828.571428559997</v>
      </c>
      <c r="AM11" s="13">
        <f t="shared" si="11"/>
        <v>-0.45342571208622634</v>
      </c>
      <c r="AO11" s="16"/>
      <c r="AP11" s="15" t="s">
        <v>6</v>
      </c>
      <c r="AQ11" s="12">
        <v>7</v>
      </c>
      <c r="AR11" s="14">
        <v>19799.999999979998</v>
      </c>
      <c r="AS11" s="12">
        <f t="shared" si="12"/>
        <v>2</v>
      </c>
      <c r="AT11" s="14">
        <f t="shared" si="13"/>
        <v>-485.7142857200015</v>
      </c>
      <c r="AU11" s="13">
        <f t="shared" si="14"/>
        <v>-2.3943661972129611E-2</v>
      </c>
      <c r="AW11" s="16"/>
      <c r="AX11" s="15" t="s">
        <v>6</v>
      </c>
      <c r="AY11" s="12">
        <v>4</v>
      </c>
      <c r="AZ11" s="14">
        <v>21228.571428559997</v>
      </c>
      <c r="BA11" s="12">
        <f t="shared" si="15"/>
        <v>-3</v>
      </c>
      <c r="BB11" s="14">
        <f t="shared" si="16"/>
        <v>1428.5714285799986</v>
      </c>
      <c r="BC11" s="13">
        <f t="shared" si="17"/>
        <v>7.2150072150577865E-2</v>
      </c>
      <c r="BE11" s="16"/>
      <c r="BF11" s="15" t="s">
        <v>6</v>
      </c>
      <c r="BG11" s="12">
        <v>5</v>
      </c>
      <c r="BH11" s="14">
        <v>24387.619047599997</v>
      </c>
      <c r="BI11" s="12">
        <f t="shared" si="18"/>
        <v>1</v>
      </c>
      <c r="BJ11" s="14">
        <f t="shared" si="19"/>
        <v>3159.0476190400004</v>
      </c>
      <c r="BK11" s="13">
        <f t="shared" si="20"/>
        <v>0.14881112606522148</v>
      </c>
      <c r="BL11" s="35"/>
      <c r="BM11" s="16"/>
      <c r="BN11" s="15" t="s">
        <v>6</v>
      </c>
      <c r="BO11" s="12">
        <v>11</v>
      </c>
      <c r="BP11" s="14">
        <v>30232.380952359999</v>
      </c>
      <c r="BQ11" s="12">
        <f t="shared" si="21"/>
        <v>6</v>
      </c>
      <c r="BR11" s="14">
        <f t="shared" si="22"/>
        <v>5844.7619047600019</v>
      </c>
      <c r="BS11" s="13">
        <f t="shared" si="23"/>
        <v>0.23966103018716742</v>
      </c>
      <c r="BU11" s="16"/>
      <c r="BV11" s="15" t="s">
        <v>6</v>
      </c>
      <c r="BW11" s="12">
        <v>6</v>
      </c>
      <c r="BX11" s="14">
        <v>23142.857142839996</v>
      </c>
      <c r="BY11" s="12">
        <f t="shared" si="24"/>
        <v>-5</v>
      </c>
      <c r="BZ11" s="14">
        <f t="shared" si="25"/>
        <v>-7089.5238095200039</v>
      </c>
      <c r="CA11" s="13">
        <f t="shared" si="26"/>
        <v>-0.23450100806455276</v>
      </c>
      <c r="CC11" s="16"/>
      <c r="CD11" s="15" t="s">
        <v>6</v>
      </c>
      <c r="CE11" s="12">
        <v>11</v>
      </c>
      <c r="CF11" s="14">
        <v>31228.571428550003</v>
      </c>
      <c r="CG11" s="12">
        <f t="shared" si="27"/>
        <v>5</v>
      </c>
      <c r="CH11" s="14">
        <f t="shared" si="28"/>
        <v>8085.714285710008</v>
      </c>
      <c r="CI11" s="13">
        <f t="shared" si="29"/>
        <v>0.34938271604945675</v>
      </c>
      <c r="CK11" s="16"/>
      <c r="CL11" s="15" t="s">
        <v>6</v>
      </c>
      <c r="CM11" s="12">
        <v>21</v>
      </c>
      <c r="CN11" s="14">
        <v>85314.285714260011</v>
      </c>
      <c r="CO11" s="12">
        <f t="shared" si="30"/>
        <v>10</v>
      </c>
      <c r="CP11" s="14">
        <f t="shared" si="31"/>
        <v>54085.714285710012</v>
      </c>
      <c r="CQ11" s="13">
        <f t="shared" si="32"/>
        <v>1.7319304666067239</v>
      </c>
      <c r="CS11" s="16"/>
      <c r="CT11" s="15" t="s">
        <v>6</v>
      </c>
      <c r="CU11" s="12">
        <v>17</v>
      </c>
      <c r="CV11" s="14">
        <v>54571.428571409997</v>
      </c>
      <c r="CW11" s="12">
        <f t="shared" si="33"/>
        <v>-4</v>
      </c>
      <c r="CX11" s="14">
        <f t="shared" si="34"/>
        <v>-30742.857142850014</v>
      </c>
      <c r="CY11" s="13">
        <f t="shared" si="35"/>
        <v>-0.36034829202949586</v>
      </c>
    </row>
    <row r="12" spans="1:103" s="12" customFormat="1" ht="20" customHeight="1">
      <c r="A12" s="16"/>
      <c r="B12" s="15" t="s">
        <v>5</v>
      </c>
      <c r="C12" s="12">
        <v>24</v>
      </c>
      <c r="D12" s="14">
        <v>119280</v>
      </c>
      <c r="F12" s="14"/>
      <c r="G12" s="13"/>
      <c r="I12" s="16"/>
      <c r="J12" s="15" t="s">
        <v>5</v>
      </c>
      <c r="K12" s="12">
        <v>21</v>
      </c>
      <c r="L12" s="14">
        <v>109690</v>
      </c>
      <c r="M12" s="12">
        <f t="shared" si="0"/>
        <v>-3</v>
      </c>
      <c r="N12" s="14">
        <f t="shared" si="1"/>
        <v>-9590</v>
      </c>
      <c r="O12" s="13">
        <f t="shared" si="2"/>
        <v>-8.0399061032863844E-2</v>
      </c>
      <c r="Q12" s="16"/>
      <c r="R12" s="15" t="s">
        <v>5</v>
      </c>
      <c r="S12" s="12">
        <v>20</v>
      </c>
      <c r="T12" s="14">
        <v>65030</v>
      </c>
      <c r="U12" s="12">
        <f t="shared" si="3"/>
        <v>-1</v>
      </c>
      <c r="V12" s="14">
        <f t="shared" si="4"/>
        <v>-44660</v>
      </c>
      <c r="W12" s="13">
        <f t="shared" si="5"/>
        <v>-0.40714741544352268</v>
      </c>
      <c r="Y12" s="16"/>
      <c r="Z12" s="15" t="s">
        <v>5</v>
      </c>
      <c r="AA12" s="12">
        <v>18</v>
      </c>
      <c r="AB12" s="14">
        <v>79720</v>
      </c>
      <c r="AC12" s="14">
        <f t="shared" si="6"/>
        <v>-2</v>
      </c>
      <c r="AD12" s="14">
        <f t="shared" si="7"/>
        <v>14690</v>
      </c>
      <c r="AE12" s="13">
        <f t="shared" si="8"/>
        <v>0.225895740427495</v>
      </c>
      <c r="AG12" s="16"/>
      <c r="AH12" s="15" t="s">
        <v>5</v>
      </c>
      <c r="AI12" s="12">
        <v>6</v>
      </c>
      <c r="AJ12" s="14">
        <v>29240</v>
      </c>
      <c r="AK12" s="12">
        <f t="shared" si="9"/>
        <v>-12</v>
      </c>
      <c r="AL12" s="14">
        <f t="shared" si="10"/>
        <v>-50480</v>
      </c>
      <c r="AM12" s="13">
        <f t="shared" si="11"/>
        <v>-0.63321625689914707</v>
      </c>
      <c r="AO12" s="16"/>
      <c r="AP12" s="15" t="s">
        <v>5</v>
      </c>
      <c r="AQ12" s="12">
        <v>18</v>
      </c>
      <c r="AR12" s="14">
        <v>73740</v>
      </c>
      <c r="AS12" s="12">
        <f t="shared" si="12"/>
        <v>12</v>
      </c>
      <c r="AT12" s="14">
        <f t="shared" si="13"/>
        <v>44500</v>
      </c>
      <c r="AU12" s="13">
        <f t="shared" si="14"/>
        <v>1.5218878248974008</v>
      </c>
      <c r="AW12" s="16"/>
      <c r="AX12" s="15" t="s">
        <v>5</v>
      </c>
      <c r="AY12" s="12">
        <v>12</v>
      </c>
      <c r="AZ12" s="14">
        <v>29310</v>
      </c>
      <c r="BA12" s="12">
        <f t="shared" si="15"/>
        <v>-6</v>
      </c>
      <c r="BB12" s="14">
        <f t="shared" si="16"/>
        <v>-44430</v>
      </c>
      <c r="BC12" s="13">
        <f t="shared" si="17"/>
        <v>-0.60252237591537838</v>
      </c>
      <c r="BE12" s="16"/>
      <c r="BF12" s="15" t="s">
        <v>5</v>
      </c>
      <c r="BG12" s="12">
        <v>15</v>
      </c>
      <c r="BH12" s="14">
        <v>56660</v>
      </c>
      <c r="BI12" s="12">
        <f t="shared" si="18"/>
        <v>3</v>
      </c>
      <c r="BJ12" s="14">
        <f t="shared" si="19"/>
        <v>27350</v>
      </c>
      <c r="BK12" s="13">
        <f t="shared" si="20"/>
        <v>0.9331286250426476</v>
      </c>
      <c r="BL12" s="35"/>
      <c r="BM12" s="16"/>
      <c r="BN12" s="15" t="s">
        <v>5</v>
      </c>
      <c r="BO12" s="12">
        <v>18</v>
      </c>
      <c r="BP12" s="14">
        <v>56130</v>
      </c>
      <c r="BQ12" s="12">
        <f t="shared" si="21"/>
        <v>3</v>
      </c>
      <c r="BR12" s="14">
        <f t="shared" si="22"/>
        <v>-530</v>
      </c>
      <c r="BS12" s="13">
        <f t="shared" si="23"/>
        <v>-9.3540416519590532E-3</v>
      </c>
      <c r="BU12" s="16"/>
      <c r="BV12" s="15" t="s">
        <v>5</v>
      </c>
      <c r="BW12" s="12">
        <v>27</v>
      </c>
      <c r="BX12" s="14">
        <v>80030</v>
      </c>
      <c r="BY12" s="12">
        <f t="shared" si="24"/>
        <v>9</v>
      </c>
      <c r="BZ12" s="14">
        <f t="shared" si="25"/>
        <v>23900</v>
      </c>
      <c r="CA12" s="13">
        <f t="shared" si="26"/>
        <v>0.42579725636914306</v>
      </c>
      <c r="CC12" s="16"/>
      <c r="CD12" s="15" t="s">
        <v>5</v>
      </c>
      <c r="CE12" s="12">
        <v>17</v>
      </c>
      <c r="CF12" s="14">
        <v>71140</v>
      </c>
      <c r="CG12" s="12">
        <f t="shared" si="27"/>
        <v>-10</v>
      </c>
      <c r="CH12" s="14">
        <f t="shared" si="28"/>
        <v>-8890</v>
      </c>
      <c r="CI12" s="13">
        <f t="shared" si="29"/>
        <v>-0.11108334374609521</v>
      </c>
      <c r="CK12" s="16"/>
      <c r="CL12" s="15" t="s">
        <v>5</v>
      </c>
      <c r="CM12" s="12">
        <v>15</v>
      </c>
      <c r="CN12" s="14">
        <v>38180</v>
      </c>
      <c r="CO12" s="12">
        <f t="shared" si="30"/>
        <v>-2</v>
      </c>
      <c r="CP12" s="14">
        <f t="shared" si="31"/>
        <v>-32960</v>
      </c>
      <c r="CQ12" s="13">
        <f t="shared" si="32"/>
        <v>-0.46331177958954173</v>
      </c>
      <c r="CS12" s="16"/>
      <c r="CT12" s="15" t="s">
        <v>5</v>
      </c>
      <c r="CU12" s="12">
        <v>14</v>
      </c>
      <c r="CV12" s="14">
        <v>60170</v>
      </c>
      <c r="CW12" s="12">
        <f t="shared" si="33"/>
        <v>-1</v>
      </c>
      <c r="CX12" s="14">
        <f t="shared" si="34"/>
        <v>21990</v>
      </c>
      <c r="CY12" s="13">
        <f t="shared" si="35"/>
        <v>0.57595599790466212</v>
      </c>
    </row>
    <row r="13" spans="1:103" s="12" customFormat="1" ht="20" customHeight="1">
      <c r="A13" s="16"/>
      <c r="B13" s="15" t="s">
        <v>4</v>
      </c>
      <c r="C13" s="12">
        <v>54</v>
      </c>
      <c r="D13" s="14">
        <v>2373509.5238093995</v>
      </c>
      <c r="F13" s="14"/>
      <c r="G13" s="13"/>
      <c r="I13" s="16"/>
      <c r="J13" s="15" t="s">
        <v>4</v>
      </c>
      <c r="K13" s="12">
        <v>50</v>
      </c>
      <c r="L13" s="14">
        <v>2221576.1904760497</v>
      </c>
      <c r="M13" s="12">
        <f t="shared" si="0"/>
        <v>-4</v>
      </c>
      <c r="N13" s="14">
        <f t="shared" si="1"/>
        <v>-151933.33333334979</v>
      </c>
      <c r="O13" s="13">
        <f t="shared" si="2"/>
        <v>-6.4012101830331875E-2</v>
      </c>
      <c r="Q13" s="16"/>
      <c r="R13" s="15" t="s">
        <v>4</v>
      </c>
      <c r="S13" s="12">
        <v>32</v>
      </c>
      <c r="T13" s="14">
        <v>1308828.5714284901</v>
      </c>
      <c r="U13" s="12">
        <f t="shared" si="3"/>
        <v>-18</v>
      </c>
      <c r="V13" s="14">
        <f t="shared" si="4"/>
        <v>-912747.61904755956</v>
      </c>
      <c r="W13" s="13">
        <f t="shared" si="5"/>
        <v>-0.41085587024227682</v>
      </c>
      <c r="Y13" s="16"/>
      <c r="Z13" s="15" t="s">
        <v>4</v>
      </c>
      <c r="AA13" s="12">
        <v>20</v>
      </c>
      <c r="AB13" s="14">
        <v>809390.47619040008</v>
      </c>
      <c r="AC13" s="14">
        <f t="shared" si="6"/>
        <v>-12</v>
      </c>
      <c r="AD13" s="14">
        <f t="shared" si="7"/>
        <v>-499438.09523809003</v>
      </c>
      <c r="AE13" s="13">
        <f t="shared" si="8"/>
        <v>-0.38159168140178212</v>
      </c>
      <c r="AG13" s="16"/>
      <c r="AH13" s="15" t="s">
        <v>4</v>
      </c>
      <c r="AI13" s="12">
        <v>8</v>
      </c>
      <c r="AJ13" s="14">
        <v>353580.95238091005</v>
      </c>
      <c r="AK13" s="12">
        <f t="shared" si="9"/>
        <v>-12</v>
      </c>
      <c r="AL13" s="14">
        <f t="shared" si="10"/>
        <v>-455809.52380949003</v>
      </c>
      <c r="AM13" s="13">
        <f t="shared" si="11"/>
        <v>-0.56315157790696058</v>
      </c>
      <c r="AO13" s="16"/>
      <c r="AP13" s="15" t="s">
        <v>4</v>
      </c>
      <c r="AQ13" s="12">
        <v>16</v>
      </c>
      <c r="AR13" s="14">
        <v>556486.66666661005</v>
      </c>
      <c r="AS13" s="12">
        <f t="shared" si="12"/>
        <v>8</v>
      </c>
      <c r="AT13" s="14">
        <f t="shared" si="13"/>
        <v>202905.7142857</v>
      </c>
      <c r="AU13" s="13">
        <f t="shared" si="14"/>
        <v>0.57385928998548319</v>
      </c>
      <c r="AW13" s="16"/>
      <c r="AX13" s="15" t="s">
        <v>4</v>
      </c>
      <c r="AY13" s="12">
        <v>15</v>
      </c>
      <c r="AZ13" s="14">
        <v>548116.19047611987</v>
      </c>
      <c r="BA13" s="12">
        <f t="shared" si="15"/>
        <v>-1</v>
      </c>
      <c r="BB13" s="14">
        <f t="shared" si="16"/>
        <v>-8370.4761904901825</v>
      </c>
      <c r="BC13" s="13">
        <f t="shared" si="17"/>
        <v>-1.5041647341938772E-2</v>
      </c>
      <c r="BE13" s="16"/>
      <c r="BF13" s="15" t="s">
        <v>4</v>
      </c>
      <c r="BG13" s="12">
        <v>18</v>
      </c>
      <c r="BH13" s="14">
        <v>719433.33333323989</v>
      </c>
      <c r="BI13" s="12">
        <f t="shared" si="18"/>
        <v>3</v>
      </c>
      <c r="BJ13" s="14">
        <f t="shared" si="19"/>
        <v>171317.14285712002</v>
      </c>
      <c r="BK13" s="13">
        <f t="shared" si="20"/>
        <v>0.31255625327962999</v>
      </c>
      <c r="BL13" s="35"/>
      <c r="BM13" s="16"/>
      <c r="BN13" s="15" t="s">
        <v>4</v>
      </c>
      <c r="BO13" s="12">
        <v>6</v>
      </c>
      <c r="BP13" s="14">
        <v>227242.85714283001</v>
      </c>
      <c r="BQ13" s="12">
        <f t="shared" si="21"/>
        <v>-12</v>
      </c>
      <c r="BR13" s="14">
        <f t="shared" si="22"/>
        <v>-492190.47619040986</v>
      </c>
      <c r="BS13" s="13">
        <f t="shared" si="23"/>
        <v>-0.68413632422342652</v>
      </c>
      <c r="BU13" s="16"/>
      <c r="BV13" s="15" t="s">
        <v>4</v>
      </c>
      <c r="BW13" s="12">
        <v>11</v>
      </c>
      <c r="BX13" s="14">
        <v>436152.38095233002</v>
      </c>
      <c r="BY13" s="12">
        <f t="shared" si="24"/>
        <v>5</v>
      </c>
      <c r="BZ13" s="14">
        <f t="shared" si="25"/>
        <v>208909.52380950001</v>
      </c>
      <c r="CA13" s="13">
        <f t="shared" si="26"/>
        <v>0.91932273003500009</v>
      </c>
      <c r="CC13" s="16"/>
      <c r="CD13" s="15" t="s">
        <v>4</v>
      </c>
      <c r="CE13" s="12">
        <v>19</v>
      </c>
      <c r="CF13" s="14">
        <v>734028.57142851001</v>
      </c>
      <c r="CG13" s="12">
        <f t="shared" si="27"/>
        <v>8</v>
      </c>
      <c r="CH13" s="14">
        <f t="shared" si="28"/>
        <v>297876.19047618</v>
      </c>
      <c r="CI13" s="13">
        <f t="shared" si="29"/>
        <v>0.68296357760508675</v>
      </c>
      <c r="CK13" s="16"/>
      <c r="CL13" s="15" t="s">
        <v>4</v>
      </c>
      <c r="CM13" s="12">
        <v>22</v>
      </c>
      <c r="CN13" s="14">
        <v>756680.95238088001</v>
      </c>
      <c r="CO13" s="12">
        <f t="shared" si="30"/>
        <v>3</v>
      </c>
      <c r="CP13" s="14">
        <f t="shared" si="31"/>
        <v>22652.380952370004</v>
      </c>
      <c r="CQ13" s="13">
        <f t="shared" si="32"/>
        <v>3.0860353171656085E-2</v>
      </c>
      <c r="CS13" s="16"/>
      <c r="CT13" s="15" t="s">
        <v>4</v>
      </c>
      <c r="CU13" s="12">
        <v>45</v>
      </c>
      <c r="CV13" s="14">
        <v>2234452.3809522898</v>
      </c>
      <c r="CW13" s="12">
        <f t="shared" si="33"/>
        <v>23</v>
      </c>
      <c r="CX13" s="14">
        <f t="shared" si="34"/>
        <v>1477771.4285714098</v>
      </c>
      <c r="CY13" s="13">
        <f t="shared" si="35"/>
        <v>1.9529650163938108</v>
      </c>
    </row>
    <row r="14" spans="1:103" s="12" customFormat="1" ht="20" customHeight="1">
      <c r="A14" s="16"/>
      <c r="B14" s="15" t="s">
        <v>3</v>
      </c>
      <c r="C14" s="12">
        <v>253</v>
      </c>
      <c r="D14" s="14">
        <v>5271238.0952379098</v>
      </c>
      <c r="F14" s="14"/>
      <c r="G14" s="13"/>
      <c r="I14" s="16"/>
      <c r="J14" s="15" t="s">
        <v>3</v>
      </c>
      <c r="K14" s="12">
        <v>217</v>
      </c>
      <c r="L14" s="14">
        <v>4851809.5238093501</v>
      </c>
      <c r="M14" s="12">
        <f t="shared" si="0"/>
        <v>-36</v>
      </c>
      <c r="N14" s="14">
        <f t="shared" si="1"/>
        <v>-419428.57142855972</v>
      </c>
      <c r="O14" s="13">
        <f t="shared" si="2"/>
        <v>-7.9569270795693287E-2</v>
      </c>
      <c r="Q14" s="16"/>
      <c r="R14" s="15" t="s">
        <v>3</v>
      </c>
      <c r="S14" s="12">
        <v>101</v>
      </c>
      <c r="T14" s="14">
        <v>2166571.4285713099</v>
      </c>
      <c r="U14" s="12">
        <f t="shared" si="3"/>
        <v>-116</v>
      </c>
      <c r="V14" s="14">
        <f t="shared" si="4"/>
        <v>-2685238.0952380402</v>
      </c>
      <c r="W14" s="13">
        <f t="shared" si="5"/>
        <v>-0.55345084798995825</v>
      </c>
      <c r="Y14" s="16"/>
      <c r="Z14" s="15" t="s">
        <v>3</v>
      </c>
      <c r="AA14" s="12">
        <v>88</v>
      </c>
      <c r="AB14" s="14">
        <v>1889809.5238094004</v>
      </c>
      <c r="AC14" s="14">
        <f t="shared" si="6"/>
        <v>-13</v>
      </c>
      <c r="AD14" s="14">
        <f t="shared" si="7"/>
        <v>-276761.90476190951</v>
      </c>
      <c r="AE14" s="13">
        <f t="shared" si="8"/>
        <v>-0.12774187876391091</v>
      </c>
      <c r="AG14" s="16"/>
      <c r="AH14" s="15" t="s">
        <v>3</v>
      </c>
      <c r="AI14" s="12">
        <v>42</v>
      </c>
      <c r="AJ14" s="14">
        <v>822571.42857135006</v>
      </c>
      <c r="AK14" s="12">
        <f t="shared" si="9"/>
        <v>-46</v>
      </c>
      <c r="AL14" s="14">
        <f t="shared" si="10"/>
        <v>-1067238.0952380504</v>
      </c>
      <c r="AM14" s="13">
        <f t="shared" si="11"/>
        <v>-0.56473315526887369</v>
      </c>
      <c r="AO14" s="16"/>
      <c r="AP14" s="15" t="s">
        <v>3</v>
      </c>
      <c r="AQ14" s="12">
        <v>59</v>
      </c>
      <c r="AR14" s="14">
        <v>1387428.5714284803</v>
      </c>
      <c r="AS14" s="12">
        <f t="shared" si="12"/>
        <v>17</v>
      </c>
      <c r="AT14" s="14">
        <f t="shared" si="13"/>
        <v>564857.14285713027</v>
      </c>
      <c r="AU14" s="13">
        <f t="shared" si="14"/>
        <v>0.68669676971175564</v>
      </c>
      <c r="AW14" s="16"/>
      <c r="AX14" s="15" t="s">
        <v>3</v>
      </c>
      <c r="AY14" s="12">
        <v>59</v>
      </c>
      <c r="AZ14" s="14">
        <v>1259814.2857142</v>
      </c>
      <c r="BA14" s="12">
        <f t="shared" si="15"/>
        <v>0</v>
      </c>
      <c r="BB14" s="14">
        <f t="shared" si="16"/>
        <v>-127614.28571428033</v>
      </c>
      <c r="BC14" s="13">
        <f t="shared" si="17"/>
        <v>-9.1978995057662785E-2</v>
      </c>
      <c r="BE14" s="16"/>
      <c r="BF14" s="15" t="s">
        <v>3</v>
      </c>
      <c r="BG14" s="12">
        <v>102</v>
      </c>
      <c r="BH14" s="14">
        <v>1828914.28571417</v>
      </c>
      <c r="BI14" s="12">
        <f t="shared" si="18"/>
        <v>43</v>
      </c>
      <c r="BJ14" s="14">
        <f t="shared" si="19"/>
        <v>569099.99999996996</v>
      </c>
      <c r="BK14" s="13">
        <f t="shared" si="20"/>
        <v>0.4517332486647761</v>
      </c>
      <c r="BL14" s="35"/>
      <c r="BM14" s="16"/>
      <c r="BN14" s="15" t="s">
        <v>3</v>
      </c>
      <c r="BO14" s="12">
        <v>66</v>
      </c>
      <c r="BP14" s="14">
        <v>1200857.1428570501</v>
      </c>
      <c r="BQ14" s="12">
        <f t="shared" si="21"/>
        <v>-36</v>
      </c>
      <c r="BR14" s="14">
        <f t="shared" si="22"/>
        <v>-628057.14285711991</v>
      </c>
      <c r="BS14" s="13">
        <f t="shared" si="23"/>
        <v>-0.34340436168219379</v>
      </c>
      <c r="BU14" s="16"/>
      <c r="BV14" s="15" t="s">
        <v>3</v>
      </c>
      <c r="BW14" s="12">
        <v>81</v>
      </c>
      <c r="BX14" s="14">
        <v>1769619.0476188797</v>
      </c>
      <c r="BY14" s="12">
        <f t="shared" si="24"/>
        <v>15</v>
      </c>
      <c r="BZ14" s="14">
        <f t="shared" si="25"/>
        <v>568761.90476182965</v>
      </c>
      <c r="CA14" s="13">
        <f t="shared" si="26"/>
        <v>0.4736299468633256</v>
      </c>
      <c r="CC14" s="16"/>
      <c r="CD14" s="15" t="s">
        <v>3</v>
      </c>
      <c r="CE14" s="12">
        <v>74</v>
      </c>
      <c r="CF14" s="14">
        <v>1516761.9047617703</v>
      </c>
      <c r="CG14" s="12">
        <f t="shared" si="27"/>
        <v>-7</v>
      </c>
      <c r="CH14" s="14">
        <f t="shared" si="28"/>
        <v>-252857.14285710943</v>
      </c>
      <c r="CI14" s="13">
        <f t="shared" si="29"/>
        <v>-0.14288789623808734</v>
      </c>
      <c r="CK14" s="16"/>
      <c r="CL14" s="15" t="s">
        <v>3</v>
      </c>
      <c r="CM14" s="12">
        <v>83</v>
      </c>
      <c r="CN14" s="14">
        <v>1714571.4285712405</v>
      </c>
      <c r="CO14" s="12">
        <f t="shared" si="30"/>
        <v>9</v>
      </c>
      <c r="CP14" s="14">
        <f t="shared" si="31"/>
        <v>197809.52380947024</v>
      </c>
      <c r="CQ14" s="13">
        <f t="shared" si="32"/>
        <v>0.13041567248522049</v>
      </c>
      <c r="CS14" s="16"/>
      <c r="CT14" s="15" t="s">
        <v>3</v>
      </c>
      <c r="CU14" s="12">
        <v>82</v>
      </c>
      <c r="CV14" s="14">
        <v>1656380.95238084</v>
      </c>
      <c r="CW14" s="12">
        <f t="shared" si="33"/>
        <v>-1</v>
      </c>
      <c r="CX14" s="14">
        <f t="shared" si="34"/>
        <v>-58190.476190400543</v>
      </c>
      <c r="CY14" s="13">
        <f t="shared" si="35"/>
        <v>-3.3938787979740752E-2</v>
      </c>
    </row>
    <row r="15" spans="1:103" s="12" customFormat="1" ht="20" customHeight="1">
      <c r="A15" s="16"/>
      <c r="B15" s="15" t="s">
        <v>2</v>
      </c>
      <c r="C15" s="12">
        <v>429</v>
      </c>
      <c r="D15" s="14">
        <v>16884857.14285697</v>
      </c>
      <c r="F15" s="14"/>
      <c r="G15" s="13"/>
      <c r="I15" s="16"/>
      <c r="J15" s="15" t="s">
        <v>2</v>
      </c>
      <c r="K15" s="12">
        <v>412</v>
      </c>
      <c r="L15" s="14">
        <v>15658380.952380812</v>
      </c>
      <c r="M15" s="12">
        <f t="shared" si="0"/>
        <v>-17</v>
      </c>
      <c r="N15" s="14">
        <f t="shared" si="1"/>
        <v>-1226476.1904761586</v>
      </c>
      <c r="O15" s="13">
        <f t="shared" si="2"/>
        <v>-7.2637640940599338E-2</v>
      </c>
      <c r="Q15" s="16"/>
      <c r="R15" s="15" t="s">
        <v>2</v>
      </c>
      <c r="S15" s="12">
        <v>340</v>
      </c>
      <c r="T15" s="14">
        <v>12776666.666666538</v>
      </c>
      <c r="U15" s="12">
        <f t="shared" si="3"/>
        <v>-72</v>
      </c>
      <c r="V15" s="14">
        <f t="shared" si="4"/>
        <v>-2881714.2857142743</v>
      </c>
      <c r="W15" s="13">
        <f t="shared" si="5"/>
        <v>-0.18403654212258247</v>
      </c>
      <c r="Y15" s="16"/>
      <c r="Z15" s="15" t="s">
        <v>2</v>
      </c>
      <c r="AA15" s="12">
        <v>251</v>
      </c>
      <c r="AB15" s="14">
        <v>9262285.7142855786</v>
      </c>
      <c r="AC15" s="14">
        <f t="shared" si="6"/>
        <v>-89</v>
      </c>
      <c r="AD15" s="14">
        <f t="shared" si="7"/>
        <v>-3514380.9523809589</v>
      </c>
      <c r="AE15" s="13">
        <f t="shared" si="8"/>
        <v>-0.27506242778875512</v>
      </c>
      <c r="AG15" s="16"/>
      <c r="AH15" s="15" t="s">
        <v>2</v>
      </c>
      <c r="AI15" s="12">
        <v>115</v>
      </c>
      <c r="AJ15" s="14">
        <v>4563809.5238094199</v>
      </c>
      <c r="AK15" s="12">
        <f t="shared" si="9"/>
        <v>-136</v>
      </c>
      <c r="AL15" s="14">
        <f t="shared" si="10"/>
        <v>-4698476.1904761586</v>
      </c>
      <c r="AM15" s="13">
        <f t="shared" si="11"/>
        <v>-0.50726962387151575</v>
      </c>
      <c r="AO15" s="16"/>
      <c r="AP15" s="15" t="s">
        <v>2</v>
      </c>
      <c r="AQ15" s="12">
        <v>186</v>
      </c>
      <c r="AR15" s="14">
        <v>7373932.3809522688</v>
      </c>
      <c r="AS15" s="12">
        <f t="shared" si="12"/>
        <v>71</v>
      </c>
      <c r="AT15" s="14">
        <f t="shared" si="13"/>
        <v>2810122.8571428489</v>
      </c>
      <c r="AU15" s="13">
        <f t="shared" si="14"/>
        <v>0.61574060934892705</v>
      </c>
      <c r="AW15" s="16"/>
      <c r="AX15" s="15" t="s">
        <v>2</v>
      </c>
      <c r="AY15" s="12">
        <v>160</v>
      </c>
      <c r="AZ15" s="14">
        <v>6047619.0476189312</v>
      </c>
      <c r="BA15" s="12">
        <f t="shared" si="15"/>
        <v>-26</v>
      </c>
      <c r="BB15" s="14">
        <f t="shared" si="16"/>
        <v>-1326313.3333333377</v>
      </c>
      <c r="BC15" s="13">
        <f t="shared" si="17"/>
        <v>-0.17986513366455059</v>
      </c>
      <c r="BE15" s="16"/>
      <c r="BF15" s="15" t="s">
        <v>2</v>
      </c>
      <c r="BG15" s="12">
        <v>145</v>
      </c>
      <c r="BH15" s="14">
        <v>5509798.0952379797</v>
      </c>
      <c r="BI15" s="12">
        <f t="shared" si="18"/>
        <v>-15</v>
      </c>
      <c r="BJ15" s="14">
        <f t="shared" si="19"/>
        <v>-537820.95238095149</v>
      </c>
      <c r="BK15" s="13">
        <f t="shared" si="20"/>
        <v>-8.8931023622048813E-2</v>
      </c>
      <c r="BL15" s="35"/>
      <c r="BM15" s="16"/>
      <c r="BN15" s="15" t="s">
        <v>2</v>
      </c>
      <c r="BO15" s="12">
        <v>169</v>
      </c>
      <c r="BP15" s="14">
        <v>6786285.7142855301</v>
      </c>
      <c r="BQ15" s="12">
        <f t="shared" si="21"/>
        <v>24</v>
      </c>
      <c r="BR15" s="14">
        <f t="shared" si="22"/>
        <v>1276487.6190475505</v>
      </c>
      <c r="BS15" s="13">
        <f t="shared" si="23"/>
        <v>0.23167593385151372</v>
      </c>
      <c r="BU15" s="16"/>
      <c r="BV15" s="15" t="s">
        <v>2</v>
      </c>
      <c r="BW15" s="12">
        <v>181</v>
      </c>
      <c r="BX15" s="14">
        <v>7178476.1904760292</v>
      </c>
      <c r="BY15" s="12">
        <f t="shared" si="24"/>
        <v>12</v>
      </c>
      <c r="BZ15" s="14">
        <f t="shared" si="25"/>
        <v>392190.47619049903</v>
      </c>
      <c r="CA15" s="13">
        <f t="shared" si="26"/>
        <v>5.7791624564953847E-2</v>
      </c>
      <c r="CC15" s="16"/>
      <c r="CD15" s="15" t="s">
        <v>2</v>
      </c>
      <c r="CE15" s="12">
        <v>161</v>
      </c>
      <c r="CF15" s="14">
        <v>6361333.3333331589</v>
      </c>
      <c r="CG15" s="12">
        <f t="shared" si="27"/>
        <v>-20</v>
      </c>
      <c r="CH15" s="14">
        <f t="shared" si="28"/>
        <v>-817142.85714287031</v>
      </c>
      <c r="CI15" s="13">
        <f t="shared" si="29"/>
        <v>-0.11383235598482674</v>
      </c>
      <c r="CK15" s="16"/>
      <c r="CL15" s="15" t="s">
        <v>2</v>
      </c>
      <c r="CM15" s="12">
        <v>158</v>
      </c>
      <c r="CN15" s="14">
        <v>6073436.1904760189</v>
      </c>
      <c r="CO15" s="12">
        <f t="shared" si="30"/>
        <v>-3</v>
      </c>
      <c r="CP15" s="14">
        <f t="shared" si="31"/>
        <v>-287897.14285713993</v>
      </c>
      <c r="CQ15" s="13">
        <f t="shared" si="32"/>
        <v>-4.5257358445370127E-2</v>
      </c>
      <c r="CS15" s="16"/>
      <c r="CT15" s="15" t="s">
        <v>2</v>
      </c>
      <c r="CU15" s="12">
        <v>143</v>
      </c>
      <c r="CV15" s="14">
        <v>5453999.9999998603</v>
      </c>
      <c r="CW15" s="12">
        <f t="shared" si="33"/>
        <v>-15</v>
      </c>
      <c r="CX15" s="14">
        <f t="shared" si="34"/>
        <v>-619436.19047615863</v>
      </c>
      <c r="CY15" s="13">
        <f t="shared" si="35"/>
        <v>-0.10199105927012447</v>
      </c>
    </row>
    <row r="16" spans="1:103" s="1" customFormat="1" ht="20" customHeight="1">
      <c r="A16" s="11" t="s">
        <v>19</v>
      </c>
      <c r="B16" s="11"/>
      <c r="C16" s="10">
        <v>2021</v>
      </c>
      <c r="D16" s="9">
        <v>28971426.666664191</v>
      </c>
      <c r="E16" s="29"/>
      <c r="F16" s="30"/>
      <c r="G16" s="31"/>
      <c r="I16" s="11" t="s">
        <v>19</v>
      </c>
      <c r="J16" s="11"/>
      <c r="K16" s="10">
        <v>2167</v>
      </c>
      <c r="L16" s="9">
        <v>27654481.428568952</v>
      </c>
      <c r="M16" s="10">
        <f t="shared" si="0"/>
        <v>146</v>
      </c>
      <c r="N16" s="9">
        <f t="shared" si="1"/>
        <v>-1316945.2380952388</v>
      </c>
      <c r="O16" s="8">
        <f t="shared" si="2"/>
        <v>-4.5456692666453129E-2</v>
      </c>
      <c r="Q16" s="11" t="s">
        <v>19</v>
      </c>
      <c r="R16" s="11"/>
      <c r="S16" s="10">
        <v>1502</v>
      </c>
      <c r="T16" s="9">
        <v>19095918.571426857</v>
      </c>
      <c r="U16" s="10">
        <f t="shared" si="3"/>
        <v>-665</v>
      </c>
      <c r="V16" s="9">
        <f t="shared" si="4"/>
        <v>-8558562.8571420945</v>
      </c>
      <c r="W16" s="8">
        <f t="shared" si="5"/>
        <v>-0.30948195066498407</v>
      </c>
      <c r="Y16" s="11" t="s">
        <v>19</v>
      </c>
      <c r="Z16" s="11"/>
      <c r="AA16" s="10">
        <v>1137</v>
      </c>
      <c r="AB16" s="9">
        <v>14129541.904760279</v>
      </c>
      <c r="AC16" s="9">
        <f t="shared" si="6"/>
        <v>-365</v>
      </c>
      <c r="AD16" s="9">
        <f t="shared" si="7"/>
        <v>-4966376.6666665785</v>
      </c>
      <c r="AE16" s="8">
        <f t="shared" si="8"/>
        <v>-0.26007529557115661</v>
      </c>
      <c r="AG16" s="11" t="s">
        <v>19</v>
      </c>
      <c r="AH16" s="11"/>
      <c r="AI16" s="10">
        <v>771</v>
      </c>
      <c r="AJ16" s="9">
        <v>7157982.8571416996</v>
      </c>
      <c r="AK16" s="10">
        <f t="shared" si="9"/>
        <v>-366</v>
      </c>
      <c r="AL16" s="9">
        <f t="shared" si="10"/>
        <v>-6971559.0476185791</v>
      </c>
      <c r="AM16" s="8">
        <f t="shared" si="11"/>
        <v>-0.49340304835147153</v>
      </c>
      <c r="AO16" s="11" t="s">
        <v>19</v>
      </c>
      <c r="AP16" s="11"/>
      <c r="AQ16" s="10">
        <v>1063</v>
      </c>
      <c r="AR16" s="9">
        <v>11393114.28571287</v>
      </c>
      <c r="AS16" s="10">
        <f t="shared" si="12"/>
        <v>292</v>
      </c>
      <c r="AT16" s="9">
        <f t="shared" si="13"/>
        <v>4235131.4285711702</v>
      </c>
      <c r="AU16" s="8">
        <f t="shared" si="14"/>
        <v>0.591665489160214</v>
      </c>
      <c r="AW16" s="11" t="s">
        <v>19</v>
      </c>
      <c r="AX16" s="11"/>
      <c r="AY16" s="10">
        <v>955</v>
      </c>
      <c r="AZ16" s="9">
        <v>9785918.5714273211</v>
      </c>
      <c r="BA16" s="10">
        <f t="shared" si="15"/>
        <v>-108</v>
      </c>
      <c r="BB16" s="9">
        <f t="shared" si="16"/>
        <v>-1607195.7142855488</v>
      </c>
      <c r="BC16" s="8">
        <f t="shared" si="17"/>
        <v>-0.14106728625561102</v>
      </c>
      <c r="BE16" s="11" t="s">
        <v>19</v>
      </c>
      <c r="BF16" s="11"/>
      <c r="BG16" s="10">
        <v>898</v>
      </c>
      <c r="BH16" s="9">
        <v>10102678.095236739</v>
      </c>
      <c r="BI16" s="10">
        <f t="shared" si="18"/>
        <v>-57</v>
      </c>
      <c r="BJ16" s="9">
        <f t="shared" si="19"/>
        <v>316759.52380941808</v>
      </c>
      <c r="BK16" s="8">
        <f t="shared" si="20"/>
        <v>3.2368910644145821E-2</v>
      </c>
      <c r="BL16" s="37"/>
      <c r="BM16" s="11" t="s">
        <v>19</v>
      </c>
      <c r="BN16" s="11"/>
      <c r="BO16" s="10">
        <v>974</v>
      </c>
      <c r="BP16" s="9">
        <v>10298415.714284319</v>
      </c>
      <c r="BQ16" s="10">
        <f t="shared" si="21"/>
        <v>76</v>
      </c>
      <c r="BR16" s="9">
        <f t="shared" si="22"/>
        <v>195737.61904758029</v>
      </c>
      <c r="BS16" s="8">
        <f t="shared" si="23"/>
        <v>1.9374824893200113E-2</v>
      </c>
      <c r="BU16" s="11" t="s">
        <v>19</v>
      </c>
      <c r="BV16" s="11"/>
      <c r="BW16" s="10">
        <v>1179</v>
      </c>
      <c r="BX16" s="9">
        <v>12264571.904760428</v>
      </c>
      <c r="BY16" s="10">
        <f t="shared" si="24"/>
        <v>205</v>
      </c>
      <c r="BZ16" s="9">
        <f t="shared" si="25"/>
        <v>1966156.1904761083</v>
      </c>
      <c r="CA16" s="8">
        <f t="shared" si="26"/>
        <v>0.19091831646968477</v>
      </c>
      <c r="CC16" s="11" t="s">
        <v>19</v>
      </c>
      <c r="CD16" s="11"/>
      <c r="CE16" s="10">
        <v>1163</v>
      </c>
      <c r="CF16" s="9">
        <v>11726599.047617629</v>
      </c>
      <c r="CG16" s="10">
        <f t="shared" si="27"/>
        <v>-16</v>
      </c>
      <c r="CH16" s="9">
        <f t="shared" si="28"/>
        <v>-537972.8571427986</v>
      </c>
      <c r="CI16" s="8">
        <f t="shared" si="29"/>
        <v>-4.3863973510073137E-2</v>
      </c>
      <c r="CK16" s="11" t="s">
        <v>19</v>
      </c>
      <c r="CL16" s="11"/>
      <c r="CM16" s="10">
        <v>1165</v>
      </c>
      <c r="CN16" s="9">
        <v>11388899.99999832</v>
      </c>
      <c r="CO16" s="10">
        <f t="shared" si="30"/>
        <v>2</v>
      </c>
      <c r="CP16" s="9">
        <f t="shared" si="31"/>
        <v>-337699.04761930928</v>
      </c>
      <c r="CQ16" s="8">
        <f t="shared" si="32"/>
        <v>-2.8797697119858127E-2</v>
      </c>
      <c r="CS16" s="11" t="s">
        <v>19</v>
      </c>
      <c r="CT16" s="11"/>
      <c r="CU16" s="10">
        <v>1154</v>
      </c>
      <c r="CV16" s="9">
        <v>12485359.523807969</v>
      </c>
      <c r="CW16" s="10">
        <f t="shared" si="33"/>
        <v>-11</v>
      </c>
      <c r="CX16" s="9">
        <f t="shared" si="34"/>
        <v>1096459.5238096491</v>
      </c>
      <c r="CY16" s="8">
        <f t="shared" si="35"/>
        <v>9.6274400847299629E-2</v>
      </c>
    </row>
    <row r="17" spans="1:103" s="1" customFormat="1" ht="20" customHeight="1">
      <c r="A17" s="42">
        <v>76</v>
      </c>
      <c r="B17" s="34" t="s">
        <v>20</v>
      </c>
      <c r="C17" s="1">
        <v>12867</v>
      </c>
      <c r="D17" s="41"/>
      <c r="E17" s="12"/>
      <c r="F17" s="14"/>
      <c r="G17" s="35"/>
      <c r="I17" s="42">
        <v>76</v>
      </c>
      <c r="J17" s="34" t="s">
        <v>20</v>
      </c>
      <c r="K17" s="1">
        <v>11215</v>
      </c>
      <c r="L17" s="41"/>
      <c r="N17" s="41"/>
      <c r="O17" s="37"/>
      <c r="Q17" s="42">
        <v>76</v>
      </c>
      <c r="R17" s="34" t="s">
        <v>20</v>
      </c>
      <c r="S17" s="1">
        <v>8061</v>
      </c>
      <c r="T17" s="41"/>
      <c r="V17" s="41"/>
      <c r="W17" s="37"/>
      <c r="Y17" s="42">
        <v>76</v>
      </c>
      <c r="Z17" s="34" t="s">
        <v>20</v>
      </c>
      <c r="AA17" s="1">
        <v>7292</v>
      </c>
      <c r="AB17" s="41"/>
      <c r="AC17" s="41"/>
      <c r="AD17" s="41"/>
      <c r="AE17" s="37"/>
      <c r="AG17" s="42">
        <v>76</v>
      </c>
      <c r="AH17" s="34" t="s">
        <v>20</v>
      </c>
      <c r="AI17" s="1">
        <v>5990</v>
      </c>
      <c r="AJ17" s="41"/>
      <c r="AL17" s="41"/>
      <c r="AM17" s="37"/>
      <c r="AO17" s="42">
        <v>76</v>
      </c>
      <c r="AP17" s="34" t="s">
        <v>20</v>
      </c>
      <c r="AQ17" s="1">
        <v>6453</v>
      </c>
      <c r="AR17" s="41"/>
      <c r="AT17" s="41"/>
      <c r="AU17" s="37"/>
      <c r="AW17" s="42">
        <v>76</v>
      </c>
      <c r="AX17" s="34" t="s">
        <v>20</v>
      </c>
      <c r="AY17" s="1">
        <v>6168</v>
      </c>
      <c r="AZ17" s="41"/>
      <c r="BB17" s="41"/>
      <c r="BC17" s="37"/>
      <c r="BE17" s="42">
        <v>76</v>
      </c>
      <c r="BF17" s="34" t="s">
        <v>20</v>
      </c>
      <c r="BG17" s="1">
        <v>4821</v>
      </c>
      <c r="BH17" s="41"/>
      <c r="BJ17" s="41"/>
      <c r="BK17" s="37"/>
      <c r="BL17" s="37"/>
      <c r="BM17" s="42">
        <v>76</v>
      </c>
      <c r="BN17" s="34" t="s">
        <v>20</v>
      </c>
      <c r="BO17" s="1">
        <v>5090</v>
      </c>
      <c r="BP17" s="41"/>
      <c r="BR17" s="41"/>
      <c r="BS17" s="37"/>
      <c r="BU17" s="42">
        <v>76</v>
      </c>
      <c r="BV17" s="34" t="s">
        <v>20</v>
      </c>
      <c r="BW17" s="41">
        <v>5181</v>
      </c>
      <c r="BX17" s="41"/>
      <c r="BZ17" s="41"/>
      <c r="CA17" s="37"/>
      <c r="CC17" s="42">
        <v>76</v>
      </c>
      <c r="CD17" s="34" t="s">
        <v>20</v>
      </c>
      <c r="CE17" s="41">
        <v>5739</v>
      </c>
      <c r="CF17" s="41"/>
      <c r="CH17" s="41"/>
      <c r="CI17" s="37"/>
      <c r="CK17" s="42">
        <v>76</v>
      </c>
      <c r="CL17" s="34" t="s">
        <v>20</v>
      </c>
      <c r="CM17" s="41">
        <v>5181</v>
      </c>
      <c r="CN17" s="41"/>
      <c r="CP17" s="41"/>
      <c r="CQ17" s="37"/>
      <c r="CS17" s="42">
        <v>76</v>
      </c>
      <c r="CT17" s="34" t="s">
        <v>20</v>
      </c>
      <c r="CU17" s="41">
        <v>5322</v>
      </c>
      <c r="CV17" s="41"/>
      <c r="CX17" s="41"/>
      <c r="CY17" s="37"/>
    </row>
    <row r="18" spans="1:103" s="1" customFormat="1" ht="20" customHeight="1">
      <c r="A18" s="42"/>
      <c r="B18" s="34" t="s">
        <v>21</v>
      </c>
      <c r="C18" s="1">
        <v>20</v>
      </c>
      <c r="D18" s="41"/>
      <c r="E18" s="12"/>
      <c r="F18" s="14"/>
      <c r="G18" s="35"/>
      <c r="I18" s="42"/>
      <c r="J18" s="34" t="s">
        <v>21</v>
      </c>
      <c r="K18" s="1">
        <v>11</v>
      </c>
      <c r="L18" s="41"/>
      <c r="N18" s="41"/>
      <c r="O18" s="37"/>
      <c r="Q18" s="42"/>
      <c r="R18" s="34" t="s">
        <v>21</v>
      </c>
      <c r="S18" s="1">
        <v>28</v>
      </c>
      <c r="T18" s="41"/>
      <c r="V18" s="41"/>
      <c r="W18" s="37"/>
      <c r="Y18" s="42"/>
      <c r="Z18" s="34" t="s">
        <v>21</v>
      </c>
      <c r="AA18" s="1">
        <v>26</v>
      </c>
      <c r="AB18" s="41"/>
      <c r="AC18" s="41"/>
      <c r="AD18" s="41"/>
      <c r="AE18" s="37"/>
      <c r="AG18" s="42"/>
      <c r="AH18" s="34" t="s">
        <v>21</v>
      </c>
      <c r="AI18" s="1">
        <v>32</v>
      </c>
      <c r="AJ18" s="41"/>
      <c r="AL18" s="41"/>
      <c r="AM18" s="37"/>
      <c r="AO18" s="42"/>
      <c r="AP18" s="34" t="s">
        <v>21</v>
      </c>
      <c r="AQ18" s="1">
        <v>40</v>
      </c>
      <c r="AR18" s="41"/>
      <c r="AT18" s="41"/>
      <c r="AU18" s="37"/>
      <c r="AW18" s="42"/>
      <c r="AX18" s="34" t="s">
        <v>21</v>
      </c>
      <c r="AY18" s="1">
        <v>18</v>
      </c>
      <c r="AZ18" s="41"/>
      <c r="BB18" s="41"/>
      <c r="BC18" s="37"/>
      <c r="BE18" s="42"/>
      <c r="BF18" s="34" t="s">
        <v>21</v>
      </c>
      <c r="BG18" s="1">
        <v>17</v>
      </c>
      <c r="BH18" s="41"/>
      <c r="BJ18" s="41"/>
      <c r="BK18" s="37"/>
      <c r="BL18" s="37"/>
      <c r="BM18" s="42"/>
      <c r="BN18" s="34" t="s">
        <v>21</v>
      </c>
      <c r="BO18" s="1">
        <v>17</v>
      </c>
      <c r="BP18" s="41"/>
      <c r="BR18" s="41"/>
      <c r="BS18" s="37"/>
      <c r="BU18" s="42"/>
      <c r="BV18" s="34" t="s">
        <v>21</v>
      </c>
      <c r="BW18" s="41">
        <v>15</v>
      </c>
      <c r="BX18" s="41"/>
      <c r="BZ18" s="41"/>
      <c r="CA18" s="37"/>
      <c r="CC18" s="42"/>
      <c r="CD18" s="34" t="s">
        <v>21</v>
      </c>
      <c r="CE18" s="41">
        <v>22</v>
      </c>
      <c r="CF18" s="41"/>
      <c r="CH18" s="41"/>
      <c r="CI18" s="37"/>
      <c r="CK18" s="42"/>
      <c r="CL18" s="34" t="s">
        <v>21</v>
      </c>
      <c r="CM18" s="41">
        <v>16</v>
      </c>
      <c r="CN18" s="41"/>
      <c r="CP18" s="41"/>
      <c r="CQ18" s="37"/>
      <c r="CS18" s="42"/>
      <c r="CT18" s="34" t="s">
        <v>21</v>
      </c>
      <c r="CU18" s="41">
        <v>18</v>
      </c>
      <c r="CV18" s="41"/>
      <c r="CX18" s="41"/>
      <c r="CY18" s="37"/>
    </row>
    <row r="19" spans="1:103" s="12" customFormat="1" ht="20" customHeight="1">
      <c r="A19" s="16"/>
      <c r="B19" s="15" t="s">
        <v>10</v>
      </c>
      <c r="C19" s="12">
        <v>246</v>
      </c>
      <c r="D19" s="14">
        <v>274739.04761815001</v>
      </c>
      <c r="F19" s="14"/>
      <c r="G19" s="13"/>
      <c r="I19" s="16"/>
      <c r="J19" s="15" t="s">
        <v>10</v>
      </c>
      <c r="K19" s="12">
        <v>228</v>
      </c>
      <c r="L19" s="14">
        <v>252806.66666579994</v>
      </c>
      <c r="M19" s="12">
        <f t="shared" ref="M19:M28" si="36">K19-C19</f>
        <v>-18</v>
      </c>
      <c r="N19" s="14">
        <f t="shared" ref="N19:N28" si="37">L19-D19</f>
        <v>-21932.380952350068</v>
      </c>
      <c r="O19" s="13">
        <f t="shared" ref="O19:O28" si="38">(L19-D19)/D19</f>
        <v>-7.9829864529606651E-2</v>
      </c>
      <c r="Q19" s="16"/>
      <c r="R19" s="15" t="s">
        <v>10</v>
      </c>
      <c r="S19" s="12">
        <v>198</v>
      </c>
      <c r="T19" s="14">
        <v>210403.80952299992</v>
      </c>
      <c r="U19" s="12">
        <f t="shared" ref="U19:U28" si="39">S19-K19</f>
        <v>-30</v>
      </c>
      <c r="V19" s="14">
        <f t="shared" ref="V19:V28" si="40">T19-L19</f>
        <v>-42402.857142800029</v>
      </c>
      <c r="W19" s="13">
        <f t="shared" ref="W19:W28" si="41">(T19-L19)/L19</f>
        <v>-0.16772839775960049</v>
      </c>
      <c r="Y19" s="16"/>
      <c r="Z19" s="15" t="s">
        <v>10</v>
      </c>
      <c r="AA19" s="12">
        <v>197</v>
      </c>
      <c r="AB19" s="14">
        <v>214467.61904686005</v>
      </c>
      <c r="AC19" s="14">
        <f t="shared" ref="AC19:AC28" si="42">AA19-S19</f>
        <v>-1</v>
      </c>
      <c r="AD19" s="14">
        <f t="shared" ref="AD19:AD28" si="43">AB19-T19</f>
        <v>4063.8095238601381</v>
      </c>
      <c r="AE19" s="13">
        <f t="shared" ref="AE19:AE28" si="44">(AB19-T19)/T19</f>
        <v>1.9314334341536291E-2</v>
      </c>
      <c r="AG19" s="16"/>
      <c r="AH19" s="15" t="s">
        <v>10</v>
      </c>
      <c r="AI19" s="12">
        <v>138</v>
      </c>
      <c r="AJ19" s="14">
        <v>161333.33333277999</v>
      </c>
      <c r="AK19" s="12">
        <f t="shared" ref="AK19:AK28" si="45">AI19-AA19</f>
        <v>-59</v>
      </c>
      <c r="AL19" s="14">
        <f t="shared" ref="AL19:AL28" si="46">AJ19-AB19</f>
        <v>-53134.285714080062</v>
      </c>
      <c r="AM19" s="13">
        <f t="shared" ref="AM19:AM28" si="47">(AJ19-AB19)/AB19</f>
        <v>-0.24774968804251282</v>
      </c>
      <c r="AO19" s="16"/>
      <c r="AP19" s="15" t="s">
        <v>10</v>
      </c>
      <c r="AQ19" s="12">
        <v>187</v>
      </c>
      <c r="AR19" s="14">
        <v>204041.90476118002</v>
      </c>
      <c r="AS19" s="12">
        <f t="shared" ref="AS19:AT23" si="48">AQ19-AI19</f>
        <v>49</v>
      </c>
      <c r="AT19" s="14">
        <f t="shared" si="48"/>
        <v>42708.571428400028</v>
      </c>
      <c r="AU19" s="13">
        <f t="shared" ref="AU19:AU28" si="49">(AR19-AJ19)/AJ19</f>
        <v>0.26472255017694118</v>
      </c>
      <c r="AW19" s="16"/>
      <c r="AX19" s="15" t="s">
        <v>10</v>
      </c>
      <c r="AY19" s="12">
        <v>178</v>
      </c>
      <c r="AZ19" s="14">
        <v>185280.95238037995</v>
      </c>
      <c r="BA19" s="12">
        <f t="shared" ref="BA19:BA28" si="50">AY19-AQ19</f>
        <v>-9</v>
      </c>
      <c r="BB19" s="14">
        <f t="shared" ref="BB19:BB28" si="51">AZ19-AR19</f>
        <v>-18760.952380800067</v>
      </c>
      <c r="BC19" s="13">
        <f t="shared" ref="BC19:BC28" si="52">(AZ19-AR19)/AR19</f>
        <v>-9.1946565597683202E-2</v>
      </c>
      <c r="BE19" s="16"/>
      <c r="BF19" s="15" t="s">
        <v>10</v>
      </c>
      <c r="BG19" s="12">
        <v>132</v>
      </c>
      <c r="BH19" s="14">
        <v>148703.80952328999</v>
      </c>
      <c r="BI19" s="12">
        <f t="shared" ref="BI19:BI28" si="53">BG19-AY19</f>
        <v>-46</v>
      </c>
      <c r="BJ19" s="14">
        <f t="shared" ref="BJ19:BJ28" si="54">BH19-AZ19</f>
        <v>-36577.142857089959</v>
      </c>
      <c r="BK19" s="13">
        <f t="shared" ref="BK19:BK28" si="55">(BH19-AZ19)/AZ19</f>
        <v>-0.19741447994069811</v>
      </c>
      <c r="BL19" s="35"/>
      <c r="BM19" s="16"/>
      <c r="BN19" s="15" t="s">
        <v>10</v>
      </c>
      <c r="BO19" s="12">
        <v>154</v>
      </c>
      <c r="BP19" s="14">
        <v>163557.14285659004</v>
      </c>
      <c r="BQ19" s="12">
        <f t="shared" ref="BQ19:BQ28" si="56">BO19-BG19</f>
        <v>22</v>
      </c>
      <c r="BR19" s="14">
        <f t="shared" ref="BR19:BR28" si="57">BP19-BH19</f>
        <v>14853.333333300048</v>
      </c>
      <c r="BS19" s="13">
        <f t="shared" ref="BS19:BS28" si="58">(BP19-BH19)/BH19</f>
        <v>9.9885358558845255E-2</v>
      </c>
      <c r="BU19" s="16"/>
      <c r="BV19" s="15" t="s">
        <v>10</v>
      </c>
      <c r="BW19" s="12">
        <v>165</v>
      </c>
      <c r="BX19" s="14">
        <v>180725.71428510998</v>
      </c>
      <c r="BY19" s="12">
        <f t="shared" ref="BY19:BY28" si="59">BW19-BO19</f>
        <v>11</v>
      </c>
      <c r="BZ19" s="14">
        <f t="shared" ref="BZ19:BZ28" si="60">BX19-BP19</f>
        <v>17168.571428519936</v>
      </c>
      <c r="CA19" s="13">
        <f t="shared" ref="CA19:CA28" si="61">(BX19-BP19)/BP19</f>
        <v>0.10496986636391453</v>
      </c>
      <c r="CC19" s="16"/>
      <c r="CD19" s="15" t="s">
        <v>10</v>
      </c>
      <c r="CE19" s="12">
        <v>187</v>
      </c>
      <c r="CF19" s="14">
        <v>192149.52380884002</v>
      </c>
      <c r="CG19" s="12">
        <f t="shared" ref="CG19:CG28" si="62">CE19-BW19</f>
        <v>22</v>
      </c>
      <c r="CH19" s="14">
        <f t="shared" ref="CH19:CH28" si="63">CF19-BX19</f>
        <v>11423.809523730044</v>
      </c>
      <c r="CI19" s="13">
        <f t="shared" ref="CI19:CI28" si="64">(CF19-BX19)/BX19</f>
        <v>6.321075873966682E-2</v>
      </c>
      <c r="CK19" s="16"/>
      <c r="CL19" s="15" t="s">
        <v>10</v>
      </c>
      <c r="CM19" s="12">
        <v>166</v>
      </c>
      <c r="CN19" s="14">
        <v>175802.85714226999</v>
      </c>
      <c r="CO19" s="12">
        <f t="shared" ref="CO19:CO28" si="65">CM19-CE19</f>
        <v>-21</v>
      </c>
      <c r="CP19" s="14">
        <f t="shared" ref="CP19:CP28" si="66">CN19-CF19</f>
        <v>-16346.666666570032</v>
      </c>
      <c r="CQ19" s="13">
        <f t="shared" ref="CQ19:CQ28" si="67">(CN19-CF19)/CF19</f>
        <v>-8.5072636884765407E-2</v>
      </c>
      <c r="CS19" s="16"/>
      <c r="CT19" s="15" t="s">
        <v>10</v>
      </c>
      <c r="CU19" s="12">
        <v>165</v>
      </c>
      <c r="CV19" s="14">
        <v>177359.04761841</v>
      </c>
      <c r="CW19" s="12">
        <f t="shared" ref="CW19:CW28" si="68">CU19-CM19</f>
        <v>-1</v>
      </c>
      <c r="CX19" s="14">
        <f t="shared" ref="CX19:CX28" si="69">CV19-CN19</f>
        <v>1556.1904761400074</v>
      </c>
      <c r="CY19" s="13">
        <f t="shared" ref="CY19:CY28" si="70">(CV19-CN19)/CN19</f>
        <v>8.851906626754346E-3</v>
      </c>
    </row>
    <row r="20" spans="1:103" s="12" customFormat="1" ht="20" customHeight="1">
      <c r="A20" s="16"/>
      <c r="B20" s="15" t="s">
        <v>9</v>
      </c>
      <c r="C20" s="12">
        <v>305</v>
      </c>
      <c r="D20" s="14">
        <v>398552.38095218991</v>
      </c>
      <c r="F20" s="14"/>
      <c r="G20" s="13"/>
      <c r="I20" s="16"/>
      <c r="J20" s="15" t="s">
        <v>9</v>
      </c>
      <c r="K20" s="12">
        <v>320</v>
      </c>
      <c r="L20" s="14">
        <v>345057.14285696996</v>
      </c>
      <c r="M20" s="12">
        <f t="shared" si="36"/>
        <v>15</v>
      </c>
      <c r="N20" s="14">
        <f t="shared" si="37"/>
        <v>-53495.238095219946</v>
      </c>
      <c r="O20" s="13">
        <f t="shared" si="38"/>
        <v>-0.13422385777099949</v>
      </c>
      <c r="Q20" s="16"/>
      <c r="R20" s="15" t="s">
        <v>9</v>
      </c>
      <c r="S20" s="12">
        <v>309</v>
      </c>
      <c r="T20" s="14">
        <v>302514.28571412998</v>
      </c>
      <c r="U20" s="12">
        <f t="shared" si="39"/>
        <v>-11</v>
      </c>
      <c r="V20" s="14">
        <f t="shared" si="40"/>
        <v>-42542.857142839988</v>
      </c>
      <c r="W20" s="13">
        <f t="shared" si="41"/>
        <v>-0.12329220832989531</v>
      </c>
      <c r="Y20" s="16"/>
      <c r="Z20" s="15" t="s">
        <v>9</v>
      </c>
      <c r="AA20" s="12">
        <v>294</v>
      </c>
      <c r="AB20" s="14">
        <v>347380.95238078997</v>
      </c>
      <c r="AC20" s="14">
        <f t="shared" si="42"/>
        <v>-15</v>
      </c>
      <c r="AD20" s="14">
        <f t="shared" si="43"/>
        <v>44866.666666659992</v>
      </c>
      <c r="AE20" s="13">
        <f t="shared" si="44"/>
        <v>0.1483125550938712</v>
      </c>
      <c r="AG20" s="16"/>
      <c r="AH20" s="15" t="s">
        <v>9</v>
      </c>
      <c r="AI20" s="12">
        <v>249</v>
      </c>
      <c r="AJ20" s="14">
        <v>279009.52380937</v>
      </c>
      <c r="AK20" s="12">
        <f t="shared" si="45"/>
        <v>-45</v>
      </c>
      <c r="AL20" s="14">
        <f t="shared" si="46"/>
        <v>-68371.428571419965</v>
      </c>
      <c r="AM20" s="13">
        <f t="shared" si="47"/>
        <v>-0.1968197395477026</v>
      </c>
      <c r="AO20" s="16"/>
      <c r="AP20" s="15" t="s">
        <v>9</v>
      </c>
      <c r="AQ20" s="12">
        <v>298</v>
      </c>
      <c r="AR20" s="14">
        <v>324180.95238078997</v>
      </c>
      <c r="AS20" s="12">
        <f t="shared" si="48"/>
        <v>49</v>
      </c>
      <c r="AT20" s="14">
        <f t="shared" si="48"/>
        <v>45171.428571419965</v>
      </c>
      <c r="AU20" s="13">
        <f t="shared" si="49"/>
        <v>0.1618992353905554</v>
      </c>
      <c r="AW20" s="16"/>
      <c r="AX20" s="15" t="s">
        <v>9</v>
      </c>
      <c r="AY20" s="12">
        <v>270</v>
      </c>
      <c r="AZ20" s="14">
        <v>352999.99999979994</v>
      </c>
      <c r="BA20" s="12">
        <f t="shared" si="50"/>
        <v>-28</v>
      </c>
      <c r="BB20" s="14">
        <f t="shared" si="51"/>
        <v>28819.047619009973</v>
      </c>
      <c r="BC20" s="13">
        <f t="shared" si="52"/>
        <v>8.8898028731677292E-2</v>
      </c>
      <c r="BE20" s="16"/>
      <c r="BF20" s="15" t="s">
        <v>9</v>
      </c>
      <c r="BG20" s="12">
        <v>217</v>
      </c>
      <c r="BH20" s="14">
        <v>222557.14285700998</v>
      </c>
      <c r="BI20" s="12">
        <f t="shared" si="53"/>
        <v>-53</v>
      </c>
      <c r="BJ20" s="14">
        <f t="shared" si="54"/>
        <v>-130442.85714278996</v>
      </c>
      <c r="BK20" s="13">
        <f t="shared" si="55"/>
        <v>-0.36952650748686655</v>
      </c>
      <c r="BL20" s="35"/>
      <c r="BM20" s="16"/>
      <c r="BN20" s="15" t="s">
        <v>9</v>
      </c>
      <c r="BO20" s="12">
        <v>218</v>
      </c>
      <c r="BP20" s="14">
        <v>233678.09523790004</v>
      </c>
      <c r="BQ20" s="12">
        <f t="shared" si="56"/>
        <v>1</v>
      </c>
      <c r="BR20" s="14">
        <f t="shared" si="57"/>
        <v>11120.952380890056</v>
      </c>
      <c r="BS20" s="13">
        <f t="shared" si="58"/>
        <v>4.9968975329788091E-2</v>
      </c>
      <c r="BU20" s="16"/>
      <c r="BV20" s="15" t="s">
        <v>9</v>
      </c>
      <c r="BW20" s="12">
        <v>237</v>
      </c>
      <c r="BX20" s="14">
        <v>289504.76190456992</v>
      </c>
      <c r="BY20" s="12">
        <f t="shared" si="59"/>
        <v>19</v>
      </c>
      <c r="BZ20" s="14">
        <f t="shared" si="60"/>
        <v>55826.666666669887</v>
      </c>
      <c r="CA20" s="13">
        <f t="shared" si="61"/>
        <v>0.2389041497870589</v>
      </c>
      <c r="CC20" s="16"/>
      <c r="CD20" s="15" t="s">
        <v>9</v>
      </c>
      <c r="CE20" s="12">
        <v>285</v>
      </c>
      <c r="CF20" s="14">
        <v>384610.47619029001</v>
      </c>
      <c r="CG20" s="12">
        <f t="shared" si="62"/>
        <v>48</v>
      </c>
      <c r="CH20" s="14">
        <f t="shared" si="63"/>
        <v>95105.714285720082</v>
      </c>
      <c r="CI20" s="13">
        <f t="shared" si="64"/>
        <v>0.32851174419393481</v>
      </c>
      <c r="CK20" s="16"/>
      <c r="CL20" s="15" t="s">
        <v>9</v>
      </c>
      <c r="CM20" s="12">
        <v>280</v>
      </c>
      <c r="CN20" s="14">
        <v>309153.33333317994</v>
      </c>
      <c r="CO20" s="12">
        <f t="shared" si="65"/>
        <v>-5</v>
      </c>
      <c r="CP20" s="14">
        <f t="shared" si="66"/>
        <v>-75457.14285711007</v>
      </c>
      <c r="CQ20" s="13">
        <f t="shared" si="67"/>
        <v>-0.196191075200398</v>
      </c>
      <c r="CS20" s="16"/>
      <c r="CT20" s="15" t="s">
        <v>9</v>
      </c>
      <c r="CU20" s="12">
        <v>248</v>
      </c>
      <c r="CV20" s="14">
        <v>268058.09523792</v>
      </c>
      <c r="CW20" s="12">
        <f t="shared" si="68"/>
        <v>-32</v>
      </c>
      <c r="CX20" s="14">
        <f t="shared" si="69"/>
        <v>-41095.238095259934</v>
      </c>
      <c r="CY20" s="13">
        <f t="shared" si="70"/>
        <v>-0.13292833576201774</v>
      </c>
    </row>
    <row r="21" spans="1:103" s="12" customFormat="1" ht="20" customHeight="1">
      <c r="A21" s="16"/>
      <c r="B21" s="15" t="s">
        <v>8</v>
      </c>
      <c r="C21" s="12">
        <v>37</v>
      </c>
      <c r="D21" s="14">
        <v>259457.14285713001</v>
      </c>
      <c r="F21" s="14"/>
      <c r="G21" s="13"/>
      <c r="I21" s="16"/>
      <c r="J21" s="15" t="s">
        <v>8</v>
      </c>
      <c r="K21" s="12">
        <v>25</v>
      </c>
      <c r="L21" s="14">
        <v>177857.14285713999</v>
      </c>
      <c r="M21" s="12">
        <f t="shared" si="36"/>
        <v>-12</v>
      </c>
      <c r="N21" s="14">
        <f t="shared" si="37"/>
        <v>-81599.999999990017</v>
      </c>
      <c r="O21" s="13">
        <f t="shared" si="38"/>
        <v>-0.31450280806076336</v>
      </c>
      <c r="Q21" s="16"/>
      <c r="R21" s="15" t="s">
        <v>8</v>
      </c>
      <c r="S21" s="12">
        <v>31</v>
      </c>
      <c r="T21" s="14">
        <v>240657.14285713001</v>
      </c>
      <c r="U21" s="12">
        <f t="shared" si="39"/>
        <v>6</v>
      </c>
      <c r="V21" s="14">
        <f t="shared" si="40"/>
        <v>62799.999999990017</v>
      </c>
      <c r="W21" s="13">
        <f t="shared" si="41"/>
        <v>0.35309236947786121</v>
      </c>
      <c r="Y21" s="16"/>
      <c r="Z21" s="15" t="s">
        <v>8</v>
      </c>
      <c r="AA21" s="12">
        <v>22</v>
      </c>
      <c r="AB21" s="14">
        <v>176933.33333331998</v>
      </c>
      <c r="AC21" s="14">
        <f t="shared" si="42"/>
        <v>-9</v>
      </c>
      <c r="AD21" s="14">
        <f t="shared" si="43"/>
        <v>-63723.809523810021</v>
      </c>
      <c r="AE21" s="13">
        <f t="shared" si="44"/>
        <v>-0.26479085044918316</v>
      </c>
      <c r="AG21" s="16"/>
      <c r="AH21" s="15" t="s">
        <v>8</v>
      </c>
      <c r="AI21" s="12">
        <v>22</v>
      </c>
      <c r="AJ21" s="14">
        <v>186933.33333331998</v>
      </c>
      <c r="AK21" s="12">
        <f t="shared" si="45"/>
        <v>0</v>
      </c>
      <c r="AL21" s="14">
        <f t="shared" si="46"/>
        <v>10000</v>
      </c>
      <c r="AM21" s="13">
        <f t="shared" si="47"/>
        <v>5.6518462697818884E-2</v>
      </c>
      <c r="AO21" s="16"/>
      <c r="AP21" s="15" t="s">
        <v>8</v>
      </c>
      <c r="AQ21" s="12">
        <v>31</v>
      </c>
      <c r="AR21" s="14">
        <v>260777.14285712002</v>
      </c>
      <c r="AS21" s="12">
        <f t="shared" si="48"/>
        <v>9</v>
      </c>
      <c r="AT21" s="14">
        <f t="shared" si="48"/>
        <v>73843.809523800039</v>
      </c>
      <c r="AU21" s="13">
        <f t="shared" si="49"/>
        <v>0.39502751171793143</v>
      </c>
      <c r="AW21" s="16"/>
      <c r="AX21" s="15" t="s">
        <v>8</v>
      </c>
      <c r="AY21" s="12">
        <v>30</v>
      </c>
      <c r="AZ21" s="14">
        <v>243999.99999998999</v>
      </c>
      <c r="BA21" s="12">
        <f t="shared" si="50"/>
        <v>-1</v>
      </c>
      <c r="BB21" s="14">
        <f t="shared" si="51"/>
        <v>-16777.142857130035</v>
      </c>
      <c r="BC21" s="13">
        <f t="shared" si="52"/>
        <v>-6.4335173985406544E-2</v>
      </c>
      <c r="BE21" s="16"/>
      <c r="BF21" s="15" t="s">
        <v>8</v>
      </c>
      <c r="BG21" s="12">
        <v>19</v>
      </c>
      <c r="BH21" s="14">
        <v>145533.33333333</v>
      </c>
      <c r="BI21" s="12">
        <f t="shared" si="53"/>
        <v>-11</v>
      </c>
      <c r="BJ21" s="14">
        <f t="shared" si="54"/>
        <v>-98466.666666659992</v>
      </c>
      <c r="BK21" s="13">
        <f t="shared" si="55"/>
        <v>-0.4035519125682952</v>
      </c>
      <c r="BL21" s="35"/>
      <c r="BM21" s="16"/>
      <c r="BN21" s="15" t="s">
        <v>8</v>
      </c>
      <c r="BO21" s="12">
        <v>28</v>
      </c>
      <c r="BP21" s="14">
        <v>219733.33333331998</v>
      </c>
      <c r="BQ21" s="12">
        <f t="shared" si="56"/>
        <v>9</v>
      </c>
      <c r="BR21" s="14">
        <f t="shared" si="57"/>
        <v>74199.999999989988</v>
      </c>
      <c r="BS21" s="13">
        <f t="shared" si="58"/>
        <v>0.50984883188267305</v>
      </c>
      <c r="BU21" s="16"/>
      <c r="BV21" s="15" t="s">
        <v>8</v>
      </c>
      <c r="BW21" s="12">
        <v>132</v>
      </c>
      <c r="BX21" s="14">
        <v>784457.14285711991</v>
      </c>
      <c r="BY21" s="12">
        <f t="shared" si="59"/>
        <v>104</v>
      </c>
      <c r="BZ21" s="14">
        <f t="shared" si="60"/>
        <v>564723.80952379992</v>
      </c>
      <c r="CA21" s="13">
        <f t="shared" si="61"/>
        <v>2.5700416088766729</v>
      </c>
      <c r="CC21" s="16"/>
      <c r="CD21" s="15" t="s">
        <v>8</v>
      </c>
      <c r="CE21" s="12">
        <v>136</v>
      </c>
      <c r="CF21" s="14">
        <v>800133.33333331998</v>
      </c>
      <c r="CG21" s="12">
        <f t="shared" si="62"/>
        <v>4</v>
      </c>
      <c r="CH21" s="14">
        <f t="shared" si="63"/>
        <v>15676.190476200078</v>
      </c>
      <c r="CI21" s="13">
        <f t="shared" si="64"/>
        <v>1.9983488733501559E-2</v>
      </c>
      <c r="CK21" s="16"/>
      <c r="CL21" s="15" t="s">
        <v>8</v>
      </c>
      <c r="CM21" s="12">
        <v>96</v>
      </c>
      <c r="CN21" s="14">
        <v>591942.85714284005</v>
      </c>
      <c r="CO21" s="12">
        <f t="shared" si="65"/>
        <v>-40</v>
      </c>
      <c r="CP21" s="14">
        <f t="shared" si="66"/>
        <v>-208190.47619047994</v>
      </c>
      <c r="CQ21" s="13">
        <f t="shared" si="67"/>
        <v>-0.26019472944986261</v>
      </c>
      <c r="CS21" s="16"/>
      <c r="CT21" s="15" t="s">
        <v>8</v>
      </c>
      <c r="CU21" s="12">
        <v>104</v>
      </c>
      <c r="CV21" s="14">
        <v>679009.52380949003</v>
      </c>
      <c r="CW21" s="12">
        <f t="shared" si="68"/>
        <v>8</v>
      </c>
      <c r="CX21" s="14">
        <f t="shared" si="69"/>
        <v>87066.66666664998</v>
      </c>
      <c r="CY21" s="13">
        <f t="shared" si="70"/>
        <v>0.14708626958841767</v>
      </c>
    </row>
    <row r="22" spans="1:103" s="12" customFormat="1" ht="20" customHeight="1">
      <c r="A22" s="16"/>
      <c r="B22" s="15" t="s">
        <v>7</v>
      </c>
      <c r="C22" s="12">
        <v>92</v>
      </c>
      <c r="D22" s="14">
        <v>1332476.19047597</v>
      </c>
      <c r="F22" s="14"/>
      <c r="G22" s="13"/>
      <c r="I22" s="16"/>
      <c r="J22" s="15" t="s">
        <v>7</v>
      </c>
      <c r="K22" s="12">
        <v>102</v>
      </c>
      <c r="L22" s="14">
        <v>1291904.7619046499</v>
      </c>
      <c r="M22" s="12">
        <f t="shared" si="36"/>
        <v>10</v>
      </c>
      <c r="N22" s="14">
        <f t="shared" si="37"/>
        <v>-40571.428571320139</v>
      </c>
      <c r="O22" s="13">
        <f t="shared" si="38"/>
        <v>-3.0448145236146945E-2</v>
      </c>
      <c r="Q22" s="16"/>
      <c r="R22" s="15" t="s">
        <v>7</v>
      </c>
      <c r="S22" s="12">
        <v>52</v>
      </c>
      <c r="T22" s="14">
        <v>693999.99999991991</v>
      </c>
      <c r="U22" s="12">
        <f t="shared" si="39"/>
        <v>-50</v>
      </c>
      <c r="V22" s="14">
        <f t="shared" si="40"/>
        <v>-597904.76190473</v>
      </c>
      <c r="W22" s="13">
        <f t="shared" si="41"/>
        <v>-0.46280869885736892</v>
      </c>
      <c r="Y22" s="16"/>
      <c r="Z22" s="15" t="s">
        <v>7</v>
      </c>
      <c r="AA22" s="12">
        <v>35</v>
      </c>
      <c r="AB22" s="14">
        <v>479619.04761896003</v>
      </c>
      <c r="AC22" s="14">
        <f t="shared" si="42"/>
        <v>-17</v>
      </c>
      <c r="AD22" s="14">
        <f t="shared" si="43"/>
        <v>-214380.95238095988</v>
      </c>
      <c r="AE22" s="13">
        <f t="shared" si="44"/>
        <v>-0.30890627144234095</v>
      </c>
      <c r="AG22" s="16"/>
      <c r="AH22" s="15" t="s">
        <v>7</v>
      </c>
      <c r="AI22" s="12">
        <v>32</v>
      </c>
      <c r="AJ22" s="14">
        <v>407523.80952374003</v>
      </c>
      <c r="AK22" s="12">
        <f t="shared" si="45"/>
        <v>-3</v>
      </c>
      <c r="AL22" s="14">
        <f t="shared" si="46"/>
        <v>-72095.238095220004</v>
      </c>
      <c r="AM22" s="13">
        <f t="shared" si="47"/>
        <v>-0.15031771247020417</v>
      </c>
      <c r="AO22" s="16"/>
      <c r="AP22" s="15" t="s">
        <v>7</v>
      </c>
      <c r="AQ22" s="12">
        <v>47</v>
      </c>
      <c r="AR22" s="14">
        <v>565047.61904754012</v>
      </c>
      <c r="AS22" s="12">
        <f t="shared" si="48"/>
        <v>15</v>
      </c>
      <c r="AT22" s="14">
        <f t="shared" si="48"/>
        <v>157523.8095238001</v>
      </c>
      <c r="AU22" s="13">
        <f t="shared" si="49"/>
        <v>0.3865389109605476</v>
      </c>
      <c r="AW22" s="16"/>
      <c r="AX22" s="15" t="s">
        <v>7</v>
      </c>
      <c r="AY22" s="12">
        <v>34</v>
      </c>
      <c r="AZ22" s="14">
        <v>476095.23809517012</v>
      </c>
      <c r="BA22" s="12">
        <f t="shared" si="50"/>
        <v>-13</v>
      </c>
      <c r="BB22" s="14">
        <f t="shared" si="51"/>
        <v>-88952.380952370004</v>
      </c>
      <c r="BC22" s="13">
        <f t="shared" si="52"/>
        <v>-0.15742457441429555</v>
      </c>
      <c r="BE22" s="16"/>
      <c r="BF22" s="15" t="s">
        <v>7</v>
      </c>
      <c r="BG22" s="12">
        <v>31</v>
      </c>
      <c r="BH22" s="14">
        <v>392855.23809518002</v>
      </c>
      <c r="BI22" s="12">
        <f t="shared" si="53"/>
        <v>-3</v>
      </c>
      <c r="BJ22" s="14">
        <f t="shared" si="54"/>
        <v>-83239.999999990105</v>
      </c>
      <c r="BK22" s="13">
        <f t="shared" si="55"/>
        <v>-0.17483896779356289</v>
      </c>
      <c r="BL22" s="35"/>
      <c r="BM22" s="16"/>
      <c r="BN22" s="15" t="s">
        <v>7</v>
      </c>
      <c r="BO22" s="12">
        <v>73</v>
      </c>
      <c r="BP22" s="14">
        <v>972567.61904751998</v>
      </c>
      <c r="BQ22" s="12">
        <f t="shared" si="56"/>
        <v>42</v>
      </c>
      <c r="BR22" s="14">
        <f t="shared" si="57"/>
        <v>579712.38095233997</v>
      </c>
      <c r="BS22" s="13">
        <f t="shared" si="58"/>
        <v>1.4756386697633612</v>
      </c>
      <c r="BU22" s="16"/>
      <c r="BV22" s="15" t="s">
        <v>7</v>
      </c>
      <c r="BW22" s="12">
        <v>30</v>
      </c>
      <c r="BX22" s="14">
        <v>384759.99999994005</v>
      </c>
      <c r="BY22" s="12">
        <f t="shared" si="59"/>
        <v>-43</v>
      </c>
      <c r="BZ22" s="14">
        <f t="shared" si="60"/>
        <v>-587807.61904757994</v>
      </c>
      <c r="CA22" s="13">
        <f t="shared" si="61"/>
        <v>-0.60438740457269891</v>
      </c>
      <c r="CC22" s="16"/>
      <c r="CD22" s="15" t="s">
        <v>7</v>
      </c>
      <c r="CE22" s="12">
        <v>58</v>
      </c>
      <c r="CF22" s="14">
        <v>744761.90476184012</v>
      </c>
      <c r="CG22" s="12">
        <f t="shared" si="62"/>
        <v>28</v>
      </c>
      <c r="CH22" s="14">
        <f t="shared" si="63"/>
        <v>360001.90476190008</v>
      </c>
      <c r="CI22" s="13">
        <f t="shared" si="64"/>
        <v>0.93565314679789002</v>
      </c>
      <c r="CK22" s="16"/>
      <c r="CL22" s="15" t="s">
        <v>7</v>
      </c>
      <c r="CM22" s="12">
        <v>68</v>
      </c>
      <c r="CN22" s="14">
        <v>902069.52380939003</v>
      </c>
      <c r="CO22" s="12">
        <f t="shared" si="65"/>
        <v>10</v>
      </c>
      <c r="CP22" s="14">
        <f t="shared" si="66"/>
        <v>157307.6190475499</v>
      </c>
      <c r="CQ22" s="13">
        <f t="shared" si="67"/>
        <v>0.21121867007665182</v>
      </c>
      <c r="CS22" s="16"/>
      <c r="CT22" s="15" t="s">
        <v>7</v>
      </c>
      <c r="CU22" s="12">
        <v>38</v>
      </c>
      <c r="CV22" s="14">
        <v>413199.99999991013</v>
      </c>
      <c r="CW22" s="12">
        <f t="shared" si="68"/>
        <v>-30</v>
      </c>
      <c r="CX22" s="14">
        <f t="shared" si="69"/>
        <v>-488869.5238094799</v>
      </c>
      <c r="CY22" s="13">
        <f t="shared" si="70"/>
        <v>-0.54194217951739543</v>
      </c>
    </row>
    <row r="23" spans="1:103" s="12" customFormat="1" ht="20" customHeight="1">
      <c r="A23" s="16"/>
      <c r="B23" s="15" t="s">
        <v>6</v>
      </c>
      <c r="C23" s="12">
        <v>7</v>
      </c>
      <c r="D23" s="14">
        <v>34379.999999979998</v>
      </c>
      <c r="F23" s="14"/>
      <c r="G23" s="13"/>
      <c r="I23" s="16"/>
      <c r="J23" s="15" t="s">
        <v>6</v>
      </c>
      <c r="K23" s="12">
        <v>4</v>
      </c>
      <c r="L23" s="14">
        <v>11428.571428560001</v>
      </c>
      <c r="M23" s="12">
        <f t="shared" si="36"/>
        <v>-3</v>
      </c>
      <c r="N23" s="14">
        <f t="shared" si="37"/>
        <v>-22951.428571419998</v>
      </c>
      <c r="O23" s="13">
        <f t="shared" si="38"/>
        <v>-0.66758081941341918</v>
      </c>
      <c r="Q23" s="16"/>
      <c r="R23" s="15" t="s">
        <v>6</v>
      </c>
      <c r="S23" s="12">
        <v>10</v>
      </c>
      <c r="T23" s="14">
        <v>40571.4285714</v>
      </c>
      <c r="U23" s="12">
        <f t="shared" si="39"/>
        <v>6</v>
      </c>
      <c r="V23" s="14">
        <f t="shared" si="40"/>
        <v>29142.857142839999</v>
      </c>
      <c r="W23" s="13">
        <f t="shared" si="41"/>
        <v>2.5500000000010496</v>
      </c>
      <c r="Y23" s="16"/>
      <c r="Z23" s="15" t="s">
        <v>6</v>
      </c>
      <c r="AA23" s="12">
        <v>8</v>
      </c>
      <c r="AB23" s="14">
        <v>40857.142857120001</v>
      </c>
      <c r="AC23" s="14">
        <f t="shared" si="42"/>
        <v>-2</v>
      </c>
      <c r="AD23" s="14">
        <f t="shared" si="43"/>
        <v>285.7142857200015</v>
      </c>
      <c r="AE23" s="13">
        <f t="shared" si="44"/>
        <v>7.0422535212726015E-3</v>
      </c>
      <c r="AG23" s="16"/>
      <c r="AH23" s="15" t="s">
        <v>6</v>
      </c>
      <c r="AI23" s="12">
        <v>3</v>
      </c>
      <c r="AJ23" s="14">
        <v>14571.428571419998</v>
      </c>
      <c r="AK23" s="12">
        <f t="shared" si="45"/>
        <v>-5</v>
      </c>
      <c r="AL23" s="14">
        <f t="shared" si="46"/>
        <v>-26285.714285700004</v>
      </c>
      <c r="AM23" s="13">
        <f t="shared" si="47"/>
        <v>-0.64335664335665366</v>
      </c>
      <c r="AO23" s="16"/>
      <c r="AP23" s="15" t="s">
        <v>6</v>
      </c>
      <c r="AQ23" s="12">
        <v>3</v>
      </c>
      <c r="AR23" s="14">
        <v>8571.4285714200014</v>
      </c>
      <c r="AS23" s="12">
        <f t="shared" si="48"/>
        <v>0</v>
      </c>
      <c r="AT23" s="14">
        <f t="shared" si="48"/>
        <v>-5999.9999999999964</v>
      </c>
      <c r="AU23" s="13">
        <f t="shared" si="49"/>
        <v>-0.41176470588259495</v>
      </c>
      <c r="AW23" s="16"/>
      <c r="AX23" s="15" t="s">
        <v>6</v>
      </c>
      <c r="AY23" s="12">
        <v>1</v>
      </c>
      <c r="AZ23" s="14">
        <v>2857.1428571400002</v>
      </c>
      <c r="BA23" s="12">
        <f t="shared" si="50"/>
        <v>-2</v>
      </c>
      <c r="BB23" s="14">
        <f t="shared" si="51"/>
        <v>-5714.2857142800012</v>
      </c>
      <c r="BC23" s="13">
        <f t="shared" si="52"/>
        <v>-0.66666666666666674</v>
      </c>
      <c r="BE23" s="16"/>
      <c r="BF23" s="15" t="s">
        <v>6</v>
      </c>
      <c r="BG23" s="12">
        <v>4</v>
      </c>
      <c r="BH23" s="14">
        <v>21028.571428560001</v>
      </c>
      <c r="BI23" s="12">
        <f t="shared" si="53"/>
        <v>3</v>
      </c>
      <c r="BJ23" s="14">
        <f t="shared" si="54"/>
        <v>18171.428571420001</v>
      </c>
      <c r="BK23" s="13">
        <f t="shared" si="55"/>
        <v>6.3600000000033603</v>
      </c>
      <c r="BL23" s="35"/>
      <c r="BM23" s="16"/>
      <c r="BN23" s="15" t="s">
        <v>6</v>
      </c>
      <c r="BO23" s="12">
        <v>1</v>
      </c>
      <c r="BP23" s="14">
        <v>2857.1428571400002</v>
      </c>
      <c r="BQ23" s="12">
        <f t="shared" si="56"/>
        <v>-3</v>
      </c>
      <c r="BR23" s="14">
        <f t="shared" si="57"/>
        <v>-18171.428571420001</v>
      </c>
      <c r="BS23" s="13">
        <f t="shared" si="58"/>
        <v>-0.86413043478267071</v>
      </c>
      <c r="BU23" s="16"/>
      <c r="BV23" s="15" t="s">
        <v>6</v>
      </c>
      <c r="BW23" s="12">
        <v>3</v>
      </c>
      <c r="BX23" s="14">
        <v>8428.5714285600006</v>
      </c>
      <c r="BY23" s="12">
        <f t="shared" si="59"/>
        <v>2</v>
      </c>
      <c r="BZ23" s="14">
        <f t="shared" si="60"/>
        <v>5571.4285714200005</v>
      </c>
      <c r="CA23" s="13">
        <f t="shared" si="61"/>
        <v>1.9499999999989501</v>
      </c>
      <c r="CC23" s="16"/>
      <c r="CD23" s="15" t="s">
        <v>6</v>
      </c>
      <c r="CE23" s="12">
        <v>13</v>
      </c>
      <c r="CF23" s="14">
        <v>40942.857142840003</v>
      </c>
      <c r="CG23" s="12">
        <f t="shared" si="62"/>
        <v>10</v>
      </c>
      <c r="CH23" s="14">
        <f t="shared" si="63"/>
        <v>32514.285714280002</v>
      </c>
      <c r="CI23" s="13">
        <f t="shared" si="64"/>
        <v>3.8576271186486206</v>
      </c>
      <c r="CK23" s="16"/>
      <c r="CL23" s="15" t="s">
        <v>6</v>
      </c>
      <c r="CM23" s="12">
        <v>5</v>
      </c>
      <c r="CN23" s="14">
        <v>18085.7142857</v>
      </c>
      <c r="CO23" s="12">
        <f t="shared" si="65"/>
        <v>-8</v>
      </c>
      <c r="CP23" s="14">
        <f t="shared" si="66"/>
        <v>-22857.142857140003</v>
      </c>
      <c r="CQ23" s="13">
        <f t="shared" si="67"/>
        <v>-0.55826936496876134</v>
      </c>
      <c r="CS23" s="16"/>
      <c r="CT23" s="15" t="s">
        <v>6</v>
      </c>
      <c r="CU23" s="12">
        <v>4</v>
      </c>
      <c r="CV23" s="14">
        <v>11428.571428560001</v>
      </c>
      <c r="CW23" s="12">
        <f t="shared" si="68"/>
        <v>-1</v>
      </c>
      <c r="CX23" s="14">
        <f t="shared" si="69"/>
        <v>-6657.1428571399993</v>
      </c>
      <c r="CY23" s="13">
        <f t="shared" si="70"/>
        <v>-0.36808846761466668</v>
      </c>
    </row>
    <row r="24" spans="1:103" s="12" customFormat="1" ht="20" customHeight="1">
      <c r="A24" s="16"/>
      <c r="B24" s="15" t="s">
        <v>5</v>
      </c>
      <c r="C24" s="12">
        <v>8</v>
      </c>
      <c r="D24" s="14">
        <v>30020</v>
      </c>
      <c r="F24" s="14"/>
      <c r="G24" s="13"/>
      <c r="I24" s="16"/>
      <c r="J24" s="15" t="s">
        <v>5</v>
      </c>
      <c r="K24" s="12">
        <v>10</v>
      </c>
      <c r="L24" s="14">
        <v>35010</v>
      </c>
      <c r="M24" s="12">
        <f t="shared" si="36"/>
        <v>2</v>
      </c>
      <c r="N24" s="14">
        <f t="shared" si="37"/>
        <v>4990</v>
      </c>
      <c r="O24" s="13">
        <f t="shared" si="38"/>
        <v>0.16622251832111926</v>
      </c>
      <c r="Q24" s="16"/>
      <c r="R24" s="15" t="s">
        <v>5</v>
      </c>
      <c r="S24" s="12">
        <v>16</v>
      </c>
      <c r="T24" s="14">
        <v>67450</v>
      </c>
      <c r="U24" s="12">
        <f t="shared" si="39"/>
        <v>6</v>
      </c>
      <c r="V24" s="14">
        <f t="shared" si="40"/>
        <v>32440</v>
      </c>
      <c r="W24" s="13">
        <f t="shared" si="41"/>
        <v>0.92659240217080829</v>
      </c>
      <c r="Y24" s="16"/>
      <c r="Z24" s="15" t="s">
        <v>5</v>
      </c>
      <c r="AA24" s="12">
        <v>5</v>
      </c>
      <c r="AB24" s="14">
        <v>9580</v>
      </c>
      <c r="AC24" s="14">
        <f t="shared" si="42"/>
        <v>-11</v>
      </c>
      <c r="AD24" s="14">
        <f t="shared" si="43"/>
        <v>-57870</v>
      </c>
      <c r="AE24" s="13">
        <f t="shared" si="44"/>
        <v>-0.8579688658265382</v>
      </c>
      <c r="AG24" s="16"/>
      <c r="AH24" s="15" t="s">
        <v>5</v>
      </c>
      <c r="AI24" s="12">
        <v>7</v>
      </c>
      <c r="AJ24" s="14">
        <v>30040</v>
      </c>
      <c r="AK24" s="12">
        <f t="shared" si="45"/>
        <v>2</v>
      </c>
      <c r="AL24" s="14">
        <f t="shared" si="46"/>
        <v>20460</v>
      </c>
      <c r="AM24" s="13">
        <f t="shared" si="47"/>
        <v>2.1356993736951981</v>
      </c>
      <c r="AO24" s="16"/>
      <c r="AP24" s="15" t="s">
        <v>5</v>
      </c>
      <c r="AQ24" s="12">
        <v>6</v>
      </c>
      <c r="AR24" s="14">
        <v>20450</v>
      </c>
      <c r="AS24" s="12">
        <v>6</v>
      </c>
      <c r="AT24" s="14">
        <f>AR24-AJ24</f>
        <v>-9590</v>
      </c>
      <c r="AU24" s="13">
        <f t="shared" si="49"/>
        <v>-0.31924101198402133</v>
      </c>
      <c r="AW24" s="16"/>
      <c r="AX24" s="15" t="s">
        <v>5</v>
      </c>
      <c r="AY24" s="12">
        <v>6</v>
      </c>
      <c r="AZ24" s="14">
        <v>13960</v>
      </c>
      <c r="BA24" s="12">
        <f t="shared" si="50"/>
        <v>0</v>
      </c>
      <c r="BB24" s="14">
        <f t="shared" si="51"/>
        <v>-6490</v>
      </c>
      <c r="BC24" s="13">
        <f t="shared" si="52"/>
        <v>-0.31735941320293398</v>
      </c>
      <c r="BE24" s="16"/>
      <c r="BF24" s="15" t="s">
        <v>5</v>
      </c>
      <c r="BG24" s="12">
        <v>3</v>
      </c>
      <c r="BH24" s="14">
        <v>10670</v>
      </c>
      <c r="BI24" s="12">
        <f t="shared" si="53"/>
        <v>-3</v>
      </c>
      <c r="BJ24" s="14">
        <f t="shared" si="54"/>
        <v>-3290</v>
      </c>
      <c r="BK24" s="13">
        <f t="shared" si="55"/>
        <v>-0.23567335243553009</v>
      </c>
      <c r="BL24" s="35"/>
      <c r="BM24" s="16"/>
      <c r="BN24" s="15" t="s">
        <v>5</v>
      </c>
      <c r="BO24" s="12">
        <v>6</v>
      </c>
      <c r="BP24" s="14">
        <v>24240</v>
      </c>
      <c r="BQ24" s="12">
        <f t="shared" si="56"/>
        <v>3</v>
      </c>
      <c r="BR24" s="14">
        <f t="shared" si="57"/>
        <v>13570</v>
      </c>
      <c r="BS24" s="13">
        <f t="shared" si="58"/>
        <v>1.2717900656044987</v>
      </c>
      <c r="BU24" s="16"/>
      <c r="BV24" s="15" t="s">
        <v>5</v>
      </c>
      <c r="BW24" s="12">
        <v>8</v>
      </c>
      <c r="BX24" s="14">
        <v>27220</v>
      </c>
      <c r="BY24" s="12">
        <f t="shared" si="59"/>
        <v>2</v>
      </c>
      <c r="BZ24" s="14">
        <f t="shared" si="60"/>
        <v>2980</v>
      </c>
      <c r="CA24" s="13">
        <f t="shared" si="61"/>
        <v>0.12293729372937294</v>
      </c>
      <c r="CC24" s="16"/>
      <c r="CD24" s="15" t="s">
        <v>5</v>
      </c>
      <c r="CE24" s="12">
        <v>10</v>
      </c>
      <c r="CF24" s="14">
        <v>34500</v>
      </c>
      <c r="CG24" s="12">
        <f t="shared" si="62"/>
        <v>2</v>
      </c>
      <c r="CH24" s="14">
        <f t="shared" si="63"/>
        <v>7280</v>
      </c>
      <c r="CI24" s="13">
        <f t="shared" si="64"/>
        <v>0.26745040411462162</v>
      </c>
      <c r="CK24" s="16"/>
      <c r="CL24" s="15" t="s">
        <v>5</v>
      </c>
      <c r="CM24" s="12">
        <v>10</v>
      </c>
      <c r="CN24" s="14">
        <v>39800</v>
      </c>
      <c r="CO24" s="12">
        <f t="shared" si="65"/>
        <v>0</v>
      </c>
      <c r="CP24" s="14">
        <f t="shared" si="66"/>
        <v>5300</v>
      </c>
      <c r="CQ24" s="13">
        <f t="shared" si="67"/>
        <v>0.15362318840579711</v>
      </c>
      <c r="CS24" s="16"/>
      <c r="CT24" s="15" t="s">
        <v>5</v>
      </c>
      <c r="CU24" s="12">
        <v>5</v>
      </c>
      <c r="CV24" s="14">
        <v>21050</v>
      </c>
      <c r="CW24" s="12">
        <f t="shared" si="68"/>
        <v>-5</v>
      </c>
      <c r="CX24" s="14">
        <f t="shared" si="69"/>
        <v>-18750</v>
      </c>
      <c r="CY24" s="13">
        <f t="shared" si="70"/>
        <v>-0.47110552763819097</v>
      </c>
    </row>
    <row r="25" spans="1:103" s="12" customFormat="1" ht="20" customHeight="1">
      <c r="A25" s="16"/>
      <c r="B25" s="15" t="s">
        <v>4</v>
      </c>
      <c r="C25" s="12">
        <v>11</v>
      </c>
      <c r="D25" s="14">
        <v>424530.47619041998</v>
      </c>
      <c r="F25" s="14"/>
      <c r="G25" s="13"/>
      <c r="I25" s="16"/>
      <c r="J25" s="15" t="s">
        <v>4</v>
      </c>
      <c r="K25" s="12">
        <v>8</v>
      </c>
      <c r="L25" s="14">
        <v>346939.99999997002</v>
      </c>
      <c r="M25" s="12">
        <f t="shared" si="36"/>
        <v>-3</v>
      </c>
      <c r="N25" s="14">
        <f t="shared" si="37"/>
        <v>-77590.476190449961</v>
      </c>
      <c r="O25" s="13">
        <f t="shared" si="38"/>
        <v>-0.18276774116835684</v>
      </c>
      <c r="Q25" s="16"/>
      <c r="R25" s="15" t="s">
        <v>4</v>
      </c>
      <c r="S25" s="12">
        <v>6</v>
      </c>
      <c r="T25" s="14">
        <v>245714.28571423999</v>
      </c>
      <c r="U25" s="12">
        <f t="shared" si="39"/>
        <v>-2</v>
      </c>
      <c r="V25" s="14">
        <f t="shared" si="40"/>
        <v>-101225.71428573004</v>
      </c>
      <c r="W25" s="13">
        <f t="shared" si="41"/>
        <v>-0.29176720552758051</v>
      </c>
      <c r="Y25" s="16"/>
      <c r="Z25" s="15" t="s">
        <v>4</v>
      </c>
      <c r="AA25" s="12">
        <v>8</v>
      </c>
      <c r="AB25" s="14">
        <v>313606.66666663997</v>
      </c>
      <c r="AC25" s="14">
        <f t="shared" si="42"/>
        <v>2</v>
      </c>
      <c r="AD25" s="14">
        <f t="shared" si="43"/>
        <v>67892.380952399981</v>
      </c>
      <c r="AE25" s="13">
        <f t="shared" si="44"/>
        <v>0.27630620155051644</v>
      </c>
      <c r="AG25" s="16"/>
      <c r="AH25" s="15" t="s">
        <v>4</v>
      </c>
      <c r="AI25" s="12">
        <v>10</v>
      </c>
      <c r="AJ25" s="14">
        <v>372162.85714282002</v>
      </c>
      <c r="AK25" s="12">
        <f t="shared" si="45"/>
        <v>2</v>
      </c>
      <c r="AL25" s="14">
        <f t="shared" si="46"/>
        <v>58556.190476180054</v>
      </c>
      <c r="AM25" s="13">
        <f t="shared" si="47"/>
        <v>0.18671857680380424</v>
      </c>
      <c r="AO25" s="16"/>
      <c r="AP25" s="15" t="s">
        <v>4</v>
      </c>
      <c r="AQ25" s="12">
        <v>5</v>
      </c>
      <c r="AR25" s="14">
        <v>201827.61904760002</v>
      </c>
      <c r="AS25" s="12">
        <v>9</v>
      </c>
      <c r="AT25" s="14">
        <f>AR25-AJ25</f>
        <v>-170335.23809522</v>
      </c>
      <c r="AU25" s="13">
        <f t="shared" si="49"/>
        <v>-0.45769005376550165</v>
      </c>
      <c r="AW25" s="16"/>
      <c r="AX25" s="15" t="s">
        <v>4</v>
      </c>
      <c r="AY25" s="12">
        <v>6</v>
      </c>
      <c r="AZ25" s="14">
        <v>205037.14285710003</v>
      </c>
      <c r="BA25" s="12">
        <f t="shared" si="50"/>
        <v>1</v>
      </c>
      <c r="BB25" s="14">
        <f t="shared" si="51"/>
        <v>3209.5238095000095</v>
      </c>
      <c r="BC25" s="13">
        <f t="shared" si="52"/>
        <v>1.5902302294628266E-2</v>
      </c>
      <c r="BE25" s="16"/>
      <c r="BF25" s="15" t="s">
        <v>4</v>
      </c>
      <c r="BG25" s="12">
        <v>5</v>
      </c>
      <c r="BH25" s="14">
        <v>165714.28571425003</v>
      </c>
      <c r="BI25" s="12">
        <f t="shared" si="53"/>
        <v>-1</v>
      </c>
      <c r="BJ25" s="14">
        <f t="shared" si="54"/>
        <v>-39322.85714285</v>
      </c>
      <c r="BK25" s="13">
        <f t="shared" si="55"/>
        <v>-0.19178406699831912</v>
      </c>
      <c r="BL25" s="35"/>
      <c r="BM25" s="16"/>
      <c r="BN25" s="15" t="s">
        <v>4</v>
      </c>
      <c r="BO25" s="12">
        <v>7</v>
      </c>
      <c r="BP25" s="14">
        <v>277892.38095234998</v>
      </c>
      <c r="BQ25" s="12">
        <f t="shared" si="56"/>
        <v>2</v>
      </c>
      <c r="BR25" s="14">
        <f t="shared" si="57"/>
        <v>112178.09523809995</v>
      </c>
      <c r="BS25" s="13">
        <f t="shared" si="58"/>
        <v>0.67693678160936965</v>
      </c>
      <c r="BU25" s="16"/>
      <c r="BV25" s="15" t="s">
        <v>4</v>
      </c>
      <c r="BW25" s="12">
        <v>4</v>
      </c>
      <c r="BX25" s="14">
        <v>164380.95238093002</v>
      </c>
      <c r="BY25" s="12">
        <f t="shared" si="59"/>
        <v>-3</v>
      </c>
      <c r="BZ25" s="14">
        <f t="shared" si="60"/>
        <v>-113511.42857141997</v>
      </c>
      <c r="CA25" s="13">
        <f t="shared" si="61"/>
        <v>-0.40847261872531759</v>
      </c>
      <c r="CC25" s="16"/>
      <c r="CD25" s="15" t="s">
        <v>4</v>
      </c>
      <c r="CE25" s="12">
        <v>7</v>
      </c>
      <c r="CF25" s="14">
        <v>255997.14285711001</v>
      </c>
      <c r="CG25" s="12">
        <f t="shared" si="62"/>
        <v>3</v>
      </c>
      <c r="CH25" s="14">
        <f t="shared" si="63"/>
        <v>91616.190476179996</v>
      </c>
      <c r="CI25" s="13">
        <f t="shared" si="64"/>
        <v>0.55734067207417204</v>
      </c>
      <c r="CK25" s="16"/>
      <c r="CL25" s="15" t="s">
        <v>4</v>
      </c>
      <c r="CM25" s="12">
        <v>11</v>
      </c>
      <c r="CN25" s="14">
        <v>376568.57142852002</v>
      </c>
      <c r="CO25" s="12">
        <f t="shared" si="65"/>
        <v>4</v>
      </c>
      <c r="CP25" s="14">
        <f t="shared" si="66"/>
        <v>120571.42857141001</v>
      </c>
      <c r="CQ25" s="13">
        <f t="shared" si="67"/>
        <v>0.47098739941292783</v>
      </c>
      <c r="CS25" s="16"/>
      <c r="CT25" s="15" t="s">
        <v>4</v>
      </c>
      <c r="CU25" s="12">
        <v>12</v>
      </c>
      <c r="CV25" s="14">
        <v>464082.85714281001</v>
      </c>
      <c r="CW25" s="12">
        <f t="shared" si="68"/>
        <v>1</v>
      </c>
      <c r="CX25" s="14">
        <f t="shared" si="69"/>
        <v>87514.285714289988</v>
      </c>
      <c r="CY25" s="13">
        <f t="shared" si="70"/>
        <v>0.23239933535160112</v>
      </c>
    </row>
    <row r="26" spans="1:103" s="12" customFormat="1" ht="20" customHeight="1">
      <c r="A26" s="16"/>
      <c r="B26" s="15" t="s">
        <v>3</v>
      </c>
      <c r="C26" s="12">
        <v>59</v>
      </c>
      <c r="D26" s="14">
        <v>1226095.23809511</v>
      </c>
      <c r="F26" s="14"/>
      <c r="G26" s="13"/>
      <c r="I26" s="16"/>
      <c r="J26" s="15" t="s">
        <v>3</v>
      </c>
      <c r="K26" s="12">
        <v>57</v>
      </c>
      <c r="L26" s="14">
        <v>1121523.8095237</v>
      </c>
      <c r="M26" s="12">
        <f t="shared" si="36"/>
        <v>-2</v>
      </c>
      <c r="N26" s="14">
        <f t="shared" si="37"/>
        <v>-104571.42857141001</v>
      </c>
      <c r="O26" s="13">
        <f t="shared" si="38"/>
        <v>-8.528817772253533E-2</v>
      </c>
      <c r="Q26" s="16"/>
      <c r="R26" s="15" t="s">
        <v>3</v>
      </c>
      <c r="S26" s="12">
        <v>35</v>
      </c>
      <c r="T26" s="14">
        <v>625333.33333326003</v>
      </c>
      <c r="U26" s="12">
        <f t="shared" si="39"/>
        <v>-22</v>
      </c>
      <c r="V26" s="14">
        <f t="shared" si="40"/>
        <v>-496190.47619044001</v>
      </c>
      <c r="W26" s="13">
        <f t="shared" si="41"/>
        <v>-0.44242527173914137</v>
      </c>
      <c r="Y26" s="16"/>
      <c r="Z26" s="15" t="s">
        <v>3</v>
      </c>
      <c r="AA26" s="12">
        <v>44</v>
      </c>
      <c r="AB26" s="14">
        <v>859904.76190465013</v>
      </c>
      <c r="AC26" s="14">
        <f t="shared" si="42"/>
        <v>9</v>
      </c>
      <c r="AD26" s="14">
        <f t="shared" si="43"/>
        <v>234571.4285713901</v>
      </c>
      <c r="AE26" s="13">
        <f t="shared" si="44"/>
        <v>0.37511422479437784</v>
      </c>
      <c r="AG26" s="16"/>
      <c r="AH26" s="15" t="s">
        <v>3</v>
      </c>
      <c r="AI26" s="12">
        <v>25</v>
      </c>
      <c r="AJ26" s="14">
        <v>621619.04761898995</v>
      </c>
      <c r="AK26" s="12">
        <f t="shared" si="45"/>
        <v>-19</v>
      </c>
      <c r="AL26" s="14">
        <f t="shared" si="46"/>
        <v>-238285.71428566019</v>
      </c>
      <c r="AM26" s="13">
        <f t="shared" si="47"/>
        <v>-0.27710709934652311</v>
      </c>
      <c r="AO26" s="16"/>
      <c r="AP26" s="15" t="s">
        <v>3</v>
      </c>
      <c r="AQ26" s="12">
        <v>35</v>
      </c>
      <c r="AR26" s="14">
        <v>693142.8571428</v>
      </c>
      <c r="AS26" s="12">
        <v>33</v>
      </c>
      <c r="AT26" s="14">
        <f>AR26-AJ26</f>
        <v>71523.80952381005</v>
      </c>
      <c r="AU26" s="13">
        <f t="shared" si="49"/>
        <v>0.11506051784894672</v>
      </c>
      <c r="AW26" s="16"/>
      <c r="AX26" s="15" t="s">
        <v>3</v>
      </c>
      <c r="AY26" s="12">
        <v>38</v>
      </c>
      <c r="AZ26" s="14">
        <v>802095.23809514998</v>
      </c>
      <c r="BA26" s="12">
        <f t="shared" si="50"/>
        <v>3</v>
      </c>
      <c r="BB26" s="14">
        <f t="shared" si="51"/>
        <v>108952.38095234998</v>
      </c>
      <c r="BC26" s="13">
        <f t="shared" si="52"/>
        <v>0.15718604012088061</v>
      </c>
      <c r="BE26" s="16"/>
      <c r="BF26" s="15" t="s">
        <v>3</v>
      </c>
      <c r="BG26" s="12">
        <v>21</v>
      </c>
      <c r="BH26" s="14">
        <v>384857.14285708999</v>
      </c>
      <c r="BI26" s="12">
        <f t="shared" si="53"/>
        <v>-17</v>
      </c>
      <c r="BJ26" s="14">
        <f t="shared" si="54"/>
        <v>-417238.09523805999</v>
      </c>
      <c r="BK26" s="13">
        <f t="shared" si="55"/>
        <v>-0.52018522916173249</v>
      </c>
      <c r="BL26" s="35"/>
      <c r="BM26" s="16"/>
      <c r="BN26" s="15" t="s">
        <v>3</v>
      </c>
      <c r="BO26" s="12">
        <v>37</v>
      </c>
      <c r="BP26" s="14">
        <v>677714.28571418987</v>
      </c>
      <c r="BQ26" s="12">
        <f t="shared" si="56"/>
        <v>16</v>
      </c>
      <c r="BR26" s="14">
        <f t="shared" si="57"/>
        <v>292857.14285709988</v>
      </c>
      <c r="BS26" s="13">
        <f t="shared" si="58"/>
        <v>0.76095025983666698</v>
      </c>
      <c r="BU26" s="16"/>
      <c r="BV26" s="15" t="s">
        <v>3</v>
      </c>
      <c r="BW26" s="12">
        <v>55</v>
      </c>
      <c r="BX26" s="14">
        <v>1153714.28571419</v>
      </c>
      <c r="BY26" s="12">
        <f t="shared" si="59"/>
        <v>18</v>
      </c>
      <c r="BZ26" s="14">
        <f t="shared" si="60"/>
        <v>476000.00000000012</v>
      </c>
      <c r="CA26" s="13">
        <f t="shared" si="61"/>
        <v>0.7023608768972327</v>
      </c>
      <c r="CC26" s="16"/>
      <c r="CD26" s="15" t="s">
        <v>3</v>
      </c>
      <c r="CE26" s="12">
        <v>64</v>
      </c>
      <c r="CF26" s="14">
        <v>1317809.5238094302</v>
      </c>
      <c r="CG26" s="12">
        <f t="shared" si="62"/>
        <v>9</v>
      </c>
      <c r="CH26" s="14">
        <f t="shared" si="63"/>
        <v>164095.2380952402</v>
      </c>
      <c r="CI26" s="13">
        <f t="shared" si="64"/>
        <v>0.14223212811624278</v>
      </c>
      <c r="CK26" s="16"/>
      <c r="CL26" s="15" t="s">
        <v>3</v>
      </c>
      <c r="CM26" s="12">
        <v>33</v>
      </c>
      <c r="CN26" s="14">
        <v>721238.09523800993</v>
      </c>
      <c r="CO26" s="12">
        <f t="shared" si="65"/>
        <v>-31</v>
      </c>
      <c r="CP26" s="14">
        <f t="shared" si="66"/>
        <v>-596571.42857142026</v>
      </c>
      <c r="CQ26" s="13">
        <f t="shared" si="67"/>
        <v>-0.45269928452701869</v>
      </c>
      <c r="CS26" s="16"/>
      <c r="CT26" s="15" t="s">
        <v>3</v>
      </c>
      <c r="CU26" s="12">
        <v>86</v>
      </c>
      <c r="CV26" s="14">
        <v>1221333.3333332702</v>
      </c>
      <c r="CW26" s="12">
        <f t="shared" si="68"/>
        <v>53</v>
      </c>
      <c r="CX26" s="14">
        <f t="shared" si="69"/>
        <v>500095.23809526023</v>
      </c>
      <c r="CY26" s="13">
        <f t="shared" si="70"/>
        <v>0.6933843919187711</v>
      </c>
    </row>
    <row r="27" spans="1:103" s="12" customFormat="1" ht="20" customHeight="1">
      <c r="A27" s="16"/>
      <c r="B27" s="15" t="s">
        <v>2</v>
      </c>
      <c r="C27" s="12">
        <v>93</v>
      </c>
      <c r="D27" s="14">
        <v>3317333.3333332399</v>
      </c>
      <c r="F27" s="14"/>
      <c r="G27" s="13"/>
      <c r="I27" s="16"/>
      <c r="J27" s="15" t="s">
        <v>2</v>
      </c>
      <c r="K27" s="12">
        <v>84</v>
      </c>
      <c r="L27" s="14">
        <v>3046761.9047618005</v>
      </c>
      <c r="M27" s="12">
        <f t="shared" si="36"/>
        <v>-9</v>
      </c>
      <c r="N27" s="14">
        <f t="shared" si="37"/>
        <v>-270571.42857143935</v>
      </c>
      <c r="O27" s="13">
        <f t="shared" si="38"/>
        <v>-8.1562930638498884E-2</v>
      </c>
      <c r="Q27" s="16"/>
      <c r="R27" s="15" t="s">
        <v>2</v>
      </c>
      <c r="S27" s="12">
        <v>167</v>
      </c>
      <c r="T27" s="14">
        <v>6393619.04761892</v>
      </c>
      <c r="U27" s="12">
        <f t="shared" si="39"/>
        <v>83</v>
      </c>
      <c r="V27" s="14">
        <f t="shared" si="40"/>
        <v>3346857.1428571194</v>
      </c>
      <c r="W27" s="13">
        <f t="shared" si="41"/>
        <v>1.0984964521271907</v>
      </c>
      <c r="Y27" s="16"/>
      <c r="Z27" s="15" t="s">
        <v>2</v>
      </c>
      <c r="AA27" s="12">
        <v>136</v>
      </c>
      <c r="AB27" s="14">
        <v>5153714.2857141607</v>
      </c>
      <c r="AC27" s="14">
        <f t="shared" si="42"/>
        <v>-31</v>
      </c>
      <c r="AD27" s="14">
        <f t="shared" si="43"/>
        <v>-1239904.7619047593</v>
      </c>
      <c r="AE27" s="13">
        <f t="shared" si="44"/>
        <v>-0.1939284703499059</v>
      </c>
      <c r="AG27" s="16"/>
      <c r="AH27" s="15" t="s">
        <v>2</v>
      </c>
      <c r="AI27" s="12">
        <v>134</v>
      </c>
      <c r="AJ27" s="14">
        <v>5139619.0476189395</v>
      </c>
      <c r="AK27" s="12">
        <f t="shared" si="45"/>
        <v>-2</v>
      </c>
      <c r="AL27" s="14">
        <f t="shared" si="46"/>
        <v>-14095.23809522111</v>
      </c>
      <c r="AM27" s="13">
        <f t="shared" si="47"/>
        <v>-2.734966921680623E-3</v>
      </c>
      <c r="AO27" s="16"/>
      <c r="AP27" s="15" t="s">
        <v>2</v>
      </c>
      <c r="AQ27" s="12">
        <v>142</v>
      </c>
      <c r="AR27" s="14">
        <v>5485523.8095236598</v>
      </c>
      <c r="AS27" s="12">
        <v>26</v>
      </c>
      <c r="AT27" s="14">
        <f>AR27-AJ27</f>
        <v>345904.76190472022</v>
      </c>
      <c r="AU27" s="13">
        <f t="shared" si="49"/>
        <v>6.7301634362369619E-2</v>
      </c>
      <c r="AW27" s="16"/>
      <c r="AX27" s="15" t="s">
        <v>2</v>
      </c>
      <c r="AY27" s="12">
        <v>98</v>
      </c>
      <c r="AZ27" s="14">
        <v>3721619.0476189302</v>
      </c>
      <c r="BA27" s="12">
        <f t="shared" si="50"/>
        <v>-44</v>
      </c>
      <c r="BB27" s="14">
        <f t="shared" si="51"/>
        <v>-1763904.7619047295</v>
      </c>
      <c r="BC27" s="13">
        <f t="shared" si="52"/>
        <v>-0.32155630403833751</v>
      </c>
      <c r="BE27" s="16"/>
      <c r="BF27" s="15" t="s">
        <v>2</v>
      </c>
      <c r="BG27" s="12">
        <v>65</v>
      </c>
      <c r="BH27" s="14">
        <v>2445714.28571421</v>
      </c>
      <c r="BI27" s="12">
        <f t="shared" si="53"/>
        <v>-33</v>
      </c>
      <c r="BJ27" s="14">
        <f t="shared" si="54"/>
        <v>-1275904.7619047202</v>
      </c>
      <c r="BK27" s="13">
        <f t="shared" si="55"/>
        <v>-0.3428359392993317</v>
      </c>
      <c r="BL27" s="35"/>
      <c r="BM27" s="16"/>
      <c r="BN27" s="15" t="s">
        <v>2</v>
      </c>
      <c r="BO27" s="12">
        <v>86</v>
      </c>
      <c r="BP27" s="14">
        <v>3387047.6190475007</v>
      </c>
      <c r="BQ27" s="12">
        <f t="shared" si="56"/>
        <v>21</v>
      </c>
      <c r="BR27" s="14">
        <f t="shared" si="57"/>
        <v>941333.33333329065</v>
      </c>
      <c r="BS27" s="13">
        <f t="shared" si="58"/>
        <v>0.3848909657320817</v>
      </c>
      <c r="BU27" s="16"/>
      <c r="BV27" s="15" t="s">
        <v>2</v>
      </c>
      <c r="BW27" s="12">
        <v>94</v>
      </c>
      <c r="BX27" s="14">
        <v>3610571.4285713201</v>
      </c>
      <c r="BY27" s="12">
        <f t="shared" si="59"/>
        <v>8</v>
      </c>
      <c r="BZ27" s="14">
        <f t="shared" si="60"/>
        <v>223523.80952381948</v>
      </c>
      <c r="CA27" s="13">
        <f t="shared" si="61"/>
        <v>6.5993701495899976E-2</v>
      </c>
      <c r="CC27" s="16"/>
      <c r="CD27" s="15" t="s">
        <v>2</v>
      </c>
      <c r="CE27" s="12">
        <v>91</v>
      </c>
      <c r="CF27" s="14">
        <v>3635142.8571427092</v>
      </c>
      <c r="CG27" s="12">
        <f t="shared" si="62"/>
        <v>-3</v>
      </c>
      <c r="CH27" s="14">
        <f t="shared" si="63"/>
        <v>24571.428571389057</v>
      </c>
      <c r="CI27" s="13">
        <f t="shared" si="64"/>
        <v>6.8054126770486891E-3</v>
      </c>
      <c r="CK27" s="16"/>
      <c r="CL27" s="15" t="s">
        <v>2</v>
      </c>
      <c r="CM27" s="12">
        <v>90</v>
      </c>
      <c r="CN27" s="14">
        <v>3528095.2380951103</v>
      </c>
      <c r="CO27" s="12">
        <f t="shared" si="65"/>
        <v>-1</v>
      </c>
      <c r="CP27" s="14">
        <f t="shared" si="66"/>
        <v>-107047.61904759891</v>
      </c>
      <c r="CQ27" s="13">
        <f t="shared" si="67"/>
        <v>-2.9447981346114236E-2</v>
      </c>
      <c r="CS27" s="16"/>
      <c r="CT27" s="15" t="s">
        <v>2</v>
      </c>
      <c r="CU27" s="12">
        <v>91</v>
      </c>
      <c r="CV27" s="14">
        <v>3459428.5714284503</v>
      </c>
      <c r="CW27" s="12">
        <f t="shared" si="68"/>
        <v>1</v>
      </c>
      <c r="CX27" s="14">
        <f t="shared" si="69"/>
        <v>-68666.666666659992</v>
      </c>
      <c r="CY27" s="13">
        <f t="shared" si="70"/>
        <v>-1.9462815494667461E-2</v>
      </c>
    </row>
    <row r="28" spans="1:103" s="1" customFormat="1" ht="20" customHeight="1">
      <c r="A28" s="11" t="s">
        <v>13</v>
      </c>
      <c r="B28" s="11"/>
      <c r="C28" s="10">
        <v>858</v>
      </c>
      <c r="D28" s="9">
        <v>7297583.8095221901</v>
      </c>
      <c r="E28" s="29"/>
      <c r="F28" s="30"/>
      <c r="G28" s="31"/>
      <c r="I28" s="11" t="s">
        <v>13</v>
      </c>
      <c r="J28" s="11"/>
      <c r="K28" s="10">
        <v>838</v>
      </c>
      <c r="L28" s="9">
        <v>6629289.99999859</v>
      </c>
      <c r="M28" s="10">
        <f t="shared" si="36"/>
        <v>-20</v>
      </c>
      <c r="N28" s="9">
        <f t="shared" si="37"/>
        <v>-668293.80952360015</v>
      </c>
      <c r="O28" s="8">
        <f t="shared" si="38"/>
        <v>-9.15774079431034E-2</v>
      </c>
      <c r="Q28" s="11" t="s">
        <v>13</v>
      </c>
      <c r="R28" s="11"/>
      <c r="S28" s="10">
        <v>824</v>
      </c>
      <c r="T28" s="9">
        <v>8820263.3333320003</v>
      </c>
      <c r="U28" s="10">
        <f t="shared" si="39"/>
        <v>-14</v>
      </c>
      <c r="V28" s="9">
        <f t="shared" si="40"/>
        <v>2190973.3333334103</v>
      </c>
      <c r="W28" s="8">
        <f t="shared" si="41"/>
        <v>0.33049894232019966</v>
      </c>
      <c r="Y28" s="11" t="s">
        <v>13</v>
      </c>
      <c r="Z28" s="11"/>
      <c r="AA28" s="10">
        <v>749</v>
      </c>
      <c r="AB28" s="9">
        <v>7596063.8095225003</v>
      </c>
      <c r="AC28" s="9">
        <f t="shared" si="42"/>
        <v>-75</v>
      </c>
      <c r="AD28" s="9">
        <f t="shared" si="43"/>
        <v>-1224199.5238095</v>
      </c>
      <c r="AE28" s="8">
        <f t="shared" si="44"/>
        <v>-0.13879398806419063</v>
      </c>
      <c r="AG28" s="11" t="s">
        <v>13</v>
      </c>
      <c r="AH28" s="11"/>
      <c r="AI28" s="10">
        <v>620</v>
      </c>
      <c r="AJ28" s="9">
        <v>7212812.3809513794</v>
      </c>
      <c r="AK28" s="10">
        <f t="shared" si="45"/>
        <v>-129</v>
      </c>
      <c r="AL28" s="9">
        <f t="shared" si="46"/>
        <v>-383251.42857112084</v>
      </c>
      <c r="AM28" s="8">
        <f t="shared" si="47"/>
        <v>-5.0453950648844351E-2</v>
      </c>
      <c r="AO28" s="11" t="s">
        <v>13</v>
      </c>
      <c r="AP28" s="11"/>
      <c r="AQ28" s="10">
        <v>754</v>
      </c>
      <c r="AR28" s="9">
        <v>7763563.3333321102</v>
      </c>
      <c r="AS28" s="10">
        <v>477</v>
      </c>
      <c r="AT28" s="9">
        <f>AR28-AJ28</f>
        <v>550750.95238073077</v>
      </c>
      <c r="AU28" s="8">
        <f t="shared" si="49"/>
        <v>7.6357310199171718E-2</v>
      </c>
      <c r="AW28" s="11" t="s">
        <v>13</v>
      </c>
      <c r="AX28" s="11"/>
      <c r="AY28" s="10">
        <v>661</v>
      </c>
      <c r="AZ28" s="9">
        <v>6003944.7619036604</v>
      </c>
      <c r="BA28" s="10">
        <f t="shared" si="50"/>
        <v>-93</v>
      </c>
      <c r="BB28" s="9">
        <f t="shared" si="51"/>
        <v>-1759618.5714284498</v>
      </c>
      <c r="BC28" s="8">
        <f t="shared" si="52"/>
        <v>-0.22665089416784909</v>
      </c>
      <c r="BE28" s="11" t="s">
        <v>13</v>
      </c>
      <c r="BF28" s="11"/>
      <c r="BG28" s="10">
        <v>497</v>
      </c>
      <c r="BH28" s="9">
        <v>3937633.8095229198</v>
      </c>
      <c r="BI28" s="10">
        <f t="shared" si="53"/>
        <v>-164</v>
      </c>
      <c r="BJ28" s="9">
        <f t="shared" si="54"/>
        <v>-2066310.9523807405</v>
      </c>
      <c r="BK28" s="8">
        <f t="shared" si="55"/>
        <v>-0.34415888791847893</v>
      </c>
      <c r="BL28" s="37"/>
      <c r="BM28" s="11" t="s">
        <v>13</v>
      </c>
      <c r="BN28" s="11"/>
      <c r="BO28" s="10">
        <v>610</v>
      </c>
      <c r="BP28" s="9">
        <v>5959287.6190465111</v>
      </c>
      <c r="BQ28" s="10">
        <f t="shared" si="56"/>
        <v>113</v>
      </c>
      <c r="BR28" s="9">
        <f t="shared" si="57"/>
        <v>2021653.8095235913</v>
      </c>
      <c r="BS28" s="8">
        <f t="shared" si="58"/>
        <v>0.5134184404436869</v>
      </c>
      <c r="BU28" s="11" t="s">
        <v>13</v>
      </c>
      <c r="BV28" s="11"/>
      <c r="BW28" s="10">
        <v>728</v>
      </c>
      <c r="BX28" s="9">
        <v>6603762.8571417397</v>
      </c>
      <c r="BY28" s="10">
        <f t="shared" si="59"/>
        <v>118</v>
      </c>
      <c r="BZ28" s="9">
        <f t="shared" si="60"/>
        <v>644475.23809522856</v>
      </c>
      <c r="CA28" s="8">
        <f t="shared" si="61"/>
        <v>0.10814635562066476</v>
      </c>
      <c r="CC28" s="11" t="s">
        <v>13</v>
      </c>
      <c r="CD28" s="11"/>
      <c r="CE28" s="10">
        <v>851</v>
      </c>
      <c r="CF28" s="9">
        <v>7406047.6190463798</v>
      </c>
      <c r="CG28" s="10">
        <f t="shared" si="62"/>
        <v>123</v>
      </c>
      <c r="CH28" s="9">
        <f t="shared" si="63"/>
        <v>802284.76190464012</v>
      </c>
      <c r="CI28" s="8">
        <f t="shared" si="64"/>
        <v>0.12148903273184576</v>
      </c>
      <c r="CK28" s="11" t="s">
        <v>13</v>
      </c>
      <c r="CL28" s="11"/>
      <c r="CM28" s="10">
        <v>759</v>
      </c>
      <c r="CN28" s="9">
        <v>6662756.1904750206</v>
      </c>
      <c r="CO28" s="10">
        <f t="shared" si="65"/>
        <v>-92</v>
      </c>
      <c r="CP28" s="9">
        <f t="shared" si="66"/>
        <v>-743291.42857135925</v>
      </c>
      <c r="CQ28" s="8">
        <f t="shared" si="67"/>
        <v>-0.10036276659358925</v>
      </c>
      <c r="CS28" s="11" t="s">
        <v>13</v>
      </c>
      <c r="CT28" s="11"/>
      <c r="CU28" s="10">
        <v>753</v>
      </c>
      <c r="CV28" s="9">
        <v>6714949.9999988209</v>
      </c>
      <c r="CW28" s="10">
        <f t="shared" si="68"/>
        <v>-6</v>
      </c>
      <c r="CX28" s="9">
        <f t="shared" si="69"/>
        <v>52193.809523800388</v>
      </c>
      <c r="CY28" s="8">
        <f t="shared" si="70"/>
        <v>7.8336664334822722E-3</v>
      </c>
    </row>
    <row r="29" spans="1:103" s="1" customFormat="1" ht="20" customHeight="1">
      <c r="A29" s="42">
        <v>77</v>
      </c>
      <c r="B29" s="34" t="s">
        <v>20</v>
      </c>
      <c r="C29" s="1">
        <v>6077</v>
      </c>
      <c r="D29" s="41"/>
      <c r="E29" s="12"/>
      <c r="F29" s="14"/>
      <c r="G29" s="35"/>
      <c r="I29" s="42">
        <v>77</v>
      </c>
      <c r="J29" s="34" t="s">
        <v>20</v>
      </c>
      <c r="K29" s="1">
        <v>5984</v>
      </c>
      <c r="L29" s="41"/>
      <c r="N29" s="41"/>
      <c r="O29" s="37"/>
      <c r="Q29" s="42">
        <v>77</v>
      </c>
      <c r="R29" s="34" t="s">
        <v>20</v>
      </c>
      <c r="S29" s="1">
        <v>3680</v>
      </c>
      <c r="T29" s="41"/>
      <c r="V29" s="41"/>
      <c r="W29" s="37"/>
      <c r="Y29" s="42">
        <v>77</v>
      </c>
      <c r="Z29" s="34" t="s">
        <v>20</v>
      </c>
      <c r="AA29" s="1">
        <v>3523</v>
      </c>
      <c r="AB29" s="41"/>
      <c r="AC29" s="41"/>
      <c r="AD29" s="41"/>
      <c r="AE29" s="37"/>
      <c r="AG29" s="42">
        <v>77</v>
      </c>
      <c r="AH29" s="34" t="s">
        <v>20</v>
      </c>
      <c r="AI29" s="1">
        <v>3073</v>
      </c>
      <c r="AJ29" s="41"/>
      <c r="AL29" s="41"/>
      <c r="AM29" s="37"/>
      <c r="AO29" s="42">
        <v>77</v>
      </c>
      <c r="AP29" s="34" t="s">
        <v>20</v>
      </c>
      <c r="AQ29" s="1">
        <v>3254</v>
      </c>
      <c r="AR29" s="41"/>
      <c r="AT29" s="41"/>
      <c r="AU29" s="37"/>
      <c r="AW29" s="42">
        <v>77</v>
      </c>
      <c r="AX29" s="34" t="s">
        <v>20</v>
      </c>
      <c r="AY29" s="1">
        <v>2730</v>
      </c>
      <c r="AZ29" s="41"/>
      <c r="BB29" s="41"/>
      <c r="BC29" s="37"/>
      <c r="BE29" s="42">
        <v>77</v>
      </c>
      <c r="BF29" s="34" t="s">
        <v>20</v>
      </c>
      <c r="BG29" s="1">
        <v>2607</v>
      </c>
      <c r="BH29" s="41"/>
      <c r="BJ29" s="41"/>
      <c r="BK29" s="37"/>
      <c r="BL29" s="37"/>
      <c r="BM29" s="42">
        <v>77</v>
      </c>
      <c r="BN29" s="34" t="s">
        <v>20</v>
      </c>
      <c r="BO29" s="1">
        <v>2688</v>
      </c>
      <c r="BP29" s="41"/>
      <c r="BR29" s="41"/>
      <c r="BS29" s="37"/>
      <c r="BU29" s="42">
        <v>77</v>
      </c>
      <c r="BV29" s="34" t="s">
        <v>20</v>
      </c>
      <c r="BW29" s="41">
        <v>2561</v>
      </c>
      <c r="BX29" s="41"/>
      <c r="BZ29" s="41"/>
      <c r="CA29" s="37"/>
      <c r="CC29" s="42">
        <v>77</v>
      </c>
      <c r="CD29" s="34" t="s">
        <v>20</v>
      </c>
      <c r="CE29" s="41">
        <v>2463</v>
      </c>
      <c r="CF29" s="41"/>
      <c r="CH29" s="41"/>
      <c r="CI29" s="37"/>
      <c r="CK29" s="42">
        <v>77</v>
      </c>
      <c r="CL29" s="34" t="s">
        <v>20</v>
      </c>
      <c r="CM29" s="41">
        <v>2070</v>
      </c>
      <c r="CN29" s="41"/>
      <c r="CP29" s="41"/>
      <c r="CQ29" s="37"/>
      <c r="CS29" s="42">
        <v>77</v>
      </c>
      <c r="CT29" s="34" t="s">
        <v>20</v>
      </c>
      <c r="CU29" s="41">
        <v>2049</v>
      </c>
      <c r="CV29" s="41"/>
      <c r="CX29" s="41"/>
      <c r="CY29" s="37"/>
    </row>
    <row r="30" spans="1:103" s="1" customFormat="1" ht="20" customHeight="1">
      <c r="A30" s="42"/>
      <c r="B30" s="34" t="s">
        <v>21</v>
      </c>
      <c r="C30" s="1">
        <v>14</v>
      </c>
      <c r="D30" s="41"/>
      <c r="E30" s="12"/>
      <c r="F30" s="14"/>
      <c r="G30" s="35"/>
      <c r="I30" s="42"/>
      <c r="J30" s="34" t="s">
        <v>21</v>
      </c>
      <c r="K30" s="1">
        <v>7</v>
      </c>
      <c r="L30" s="41"/>
      <c r="N30" s="41"/>
      <c r="O30" s="37"/>
      <c r="Q30" s="42"/>
      <c r="R30" s="34" t="s">
        <v>21</v>
      </c>
      <c r="S30" s="1">
        <v>11</v>
      </c>
      <c r="T30" s="41"/>
      <c r="V30" s="41"/>
      <c r="W30" s="37"/>
      <c r="Y30" s="42"/>
      <c r="Z30" s="34" t="s">
        <v>21</v>
      </c>
      <c r="AA30" s="1">
        <v>19</v>
      </c>
      <c r="AB30" s="41"/>
      <c r="AC30" s="41"/>
      <c r="AD30" s="41"/>
      <c r="AE30" s="37"/>
      <c r="AG30" s="42"/>
      <c r="AH30" s="34" t="s">
        <v>21</v>
      </c>
      <c r="AI30" s="1">
        <v>12</v>
      </c>
      <c r="AJ30" s="41"/>
      <c r="AL30" s="41"/>
      <c r="AM30" s="37"/>
      <c r="AO30" s="42"/>
      <c r="AP30" s="34" t="s">
        <v>21</v>
      </c>
      <c r="AQ30" s="1">
        <v>10</v>
      </c>
      <c r="AR30" s="41"/>
      <c r="AT30" s="41"/>
      <c r="AU30" s="37"/>
      <c r="AW30" s="42"/>
      <c r="AX30" s="34" t="s">
        <v>21</v>
      </c>
      <c r="AY30" s="1">
        <v>11</v>
      </c>
      <c r="AZ30" s="41"/>
      <c r="BB30" s="41"/>
      <c r="BC30" s="37"/>
      <c r="BE30" s="42"/>
      <c r="BF30" s="34" t="s">
        <v>21</v>
      </c>
      <c r="BG30" s="1">
        <v>10</v>
      </c>
      <c r="BH30" s="41"/>
      <c r="BJ30" s="41"/>
      <c r="BK30" s="37"/>
      <c r="BL30" s="37"/>
      <c r="BM30" s="42"/>
      <c r="BN30" s="34" t="s">
        <v>21</v>
      </c>
      <c r="BO30" s="1">
        <v>4</v>
      </c>
      <c r="BP30" s="41"/>
      <c r="BR30" s="41"/>
      <c r="BS30" s="37"/>
      <c r="BU30" s="42"/>
      <c r="BV30" s="34" t="s">
        <v>21</v>
      </c>
      <c r="BW30" s="41">
        <v>3</v>
      </c>
      <c r="BX30" s="41"/>
      <c r="BZ30" s="41"/>
      <c r="CA30" s="37"/>
      <c r="CC30" s="42"/>
      <c r="CD30" s="34" t="s">
        <v>21</v>
      </c>
      <c r="CE30" s="41">
        <v>3</v>
      </c>
      <c r="CF30" s="41"/>
      <c r="CH30" s="41"/>
      <c r="CI30" s="37"/>
      <c r="CK30" s="42"/>
      <c r="CL30" s="34" t="s">
        <v>21</v>
      </c>
      <c r="CM30" s="41">
        <v>3</v>
      </c>
      <c r="CN30" s="41"/>
      <c r="CP30" s="41"/>
      <c r="CQ30" s="37"/>
      <c r="CS30" s="42"/>
      <c r="CT30" s="34" t="s">
        <v>21</v>
      </c>
      <c r="CU30" s="41">
        <v>6</v>
      </c>
      <c r="CV30" s="41"/>
      <c r="CX30" s="41"/>
      <c r="CY30" s="37"/>
    </row>
    <row r="31" spans="1:103" s="12" customFormat="1" ht="20" customHeight="1">
      <c r="A31" s="42"/>
      <c r="B31" s="15" t="s">
        <v>10</v>
      </c>
      <c r="C31" s="12">
        <v>102</v>
      </c>
      <c r="D31" s="14">
        <v>113303.80952338997</v>
      </c>
      <c r="F31" s="14"/>
      <c r="G31" s="13"/>
      <c r="I31" s="42"/>
      <c r="J31" s="15" t="s">
        <v>10</v>
      </c>
      <c r="K31" s="12">
        <v>133</v>
      </c>
      <c r="L31" s="14">
        <v>131178.09523753994</v>
      </c>
      <c r="M31" s="12">
        <f t="shared" ref="M31:M40" si="71">K31-C31</f>
        <v>31</v>
      </c>
      <c r="N31" s="14">
        <f t="shared" ref="N31:N40" si="72">L31-D31</f>
        <v>17874.28571414997</v>
      </c>
      <c r="O31" s="13">
        <f t="shared" ref="O31:O40" si="73">(L31-D31)/D31</f>
        <v>0.15775538165343042</v>
      </c>
      <c r="Q31" s="42"/>
      <c r="R31" s="15" t="s">
        <v>10</v>
      </c>
      <c r="S31" s="12">
        <v>113</v>
      </c>
      <c r="T31" s="14">
        <v>116814.28571379995</v>
      </c>
      <c r="U31" s="12">
        <f t="shared" ref="U31:U40" si="74">S31-K31</f>
        <v>-20</v>
      </c>
      <c r="V31" s="14">
        <f t="shared" ref="V31:V40" si="75">T31-L31</f>
        <v>-14363.809523739983</v>
      </c>
      <c r="W31" s="13">
        <f t="shared" ref="W31:W40" si="76">(T31-L31)/L31</f>
        <v>-0.10949853706695244</v>
      </c>
      <c r="Y31" s="42"/>
      <c r="Z31" s="15" t="s">
        <v>10</v>
      </c>
      <c r="AA31" s="12">
        <v>114</v>
      </c>
      <c r="AB31" s="14">
        <v>128671.42857093998</v>
      </c>
      <c r="AC31" s="12">
        <f t="shared" ref="AC31:AC40" si="77">AA31-S31</f>
        <v>1</v>
      </c>
      <c r="AD31" s="14">
        <f t="shared" ref="AD31:AD40" si="78">AB31-T31</f>
        <v>11857.142857140032</v>
      </c>
      <c r="AE31" s="13">
        <f t="shared" ref="AE31:AE40" si="79">(AB31-T31)/T31</f>
        <v>0.10150421915167589</v>
      </c>
      <c r="AG31" s="42"/>
      <c r="AH31" s="15" t="s">
        <v>10</v>
      </c>
      <c r="AI31" s="12">
        <v>104</v>
      </c>
      <c r="AJ31" s="14">
        <v>104453.33333287999</v>
      </c>
      <c r="AK31" s="12">
        <f t="shared" ref="AK31:AK40" si="80">AI31-AA31</f>
        <v>-10</v>
      </c>
      <c r="AL31" s="14">
        <f t="shared" ref="AL31:AL40" si="81">AJ31-AB31</f>
        <v>-24218.095238059992</v>
      </c>
      <c r="AM31" s="13">
        <f t="shared" ref="AM31:AM40" si="82">(AJ31-AB31)/AB31</f>
        <v>-0.1882165722960627</v>
      </c>
      <c r="AO31" s="42"/>
      <c r="AP31" s="15" t="s">
        <v>10</v>
      </c>
      <c r="AQ31" s="12">
        <v>103</v>
      </c>
      <c r="AR31" s="14">
        <v>99968.571428179959</v>
      </c>
      <c r="AS31" s="12">
        <f t="shared" ref="AS31:AS40" si="83">AQ31-AI31</f>
        <v>-1</v>
      </c>
      <c r="AT31" s="14">
        <f t="shared" ref="AT31:AT40" si="84">AR31-AJ31</f>
        <v>-4484.7619047000335</v>
      </c>
      <c r="AU31" s="13">
        <f t="shared" ref="AU31:AU40" si="85">(AR31-AJ31)/AJ31</f>
        <v>-4.2935555636196367E-2</v>
      </c>
      <c r="AW31" s="42"/>
      <c r="AX31" s="15" t="s">
        <v>10</v>
      </c>
      <c r="AY31" s="12">
        <v>104</v>
      </c>
      <c r="AZ31" s="14">
        <v>104707.61904719994</v>
      </c>
      <c r="BA31" s="12">
        <f t="shared" ref="BA31:BA40" si="86">AY31-AQ31</f>
        <v>1</v>
      </c>
      <c r="BB31" s="14">
        <f t="shared" ref="BB31:BB40" si="87">AZ31-AR31</f>
        <v>4739.0476190199843</v>
      </c>
      <c r="BC31" s="13">
        <f t="shared" ref="BC31:BC40" si="88">(AZ31-AR31)/AR31</f>
        <v>4.7405375022535362E-2</v>
      </c>
      <c r="BE31" s="42"/>
      <c r="BF31" s="15" t="s">
        <v>10</v>
      </c>
      <c r="BG31" s="12">
        <v>100</v>
      </c>
      <c r="BH31" s="14">
        <v>116976.19047581998</v>
      </c>
      <c r="BI31" s="12">
        <f t="shared" ref="BI31:BI40" si="89">BG31-AY31</f>
        <v>-4</v>
      </c>
      <c r="BJ31" s="14">
        <f t="shared" ref="BJ31:BJ40" si="90">BH31-AZ31</f>
        <v>12268.571428620038</v>
      </c>
      <c r="BK31" s="13">
        <f t="shared" ref="BK31:BK40" si="91">(BH31-AZ31)/AZ31</f>
        <v>0.11716980617322251</v>
      </c>
      <c r="BL31" s="35"/>
      <c r="BM31" s="42"/>
      <c r="BN31" s="15" t="s">
        <v>10</v>
      </c>
      <c r="BO31" s="12">
        <v>86</v>
      </c>
      <c r="BP31" s="14">
        <v>85834.285713939971</v>
      </c>
      <c r="BQ31" s="12">
        <f t="shared" ref="BQ31:BQ40" si="92">BO31-BG31</f>
        <v>-14</v>
      </c>
      <c r="BR31" s="14">
        <f t="shared" ref="BR31:BR40" si="93">BP31-BH31</f>
        <v>-31141.90476188001</v>
      </c>
      <c r="BS31" s="13">
        <f t="shared" ref="BS31:BS40" si="94">(BP31-BH31)/BH31</f>
        <v>-0.26622430287056853</v>
      </c>
      <c r="BU31" s="42"/>
      <c r="BV31" s="15" t="s">
        <v>10</v>
      </c>
      <c r="BW31" s="12">
        <v>105</v>
      </c>
      <c r="BX31" s="14">
        <v>100216.19047576</v>
      </c>
      <c r="BY31" s="12">
        <f t="shared" ref="BY31:BY40" si="95">BW31-BO31</f>
        <v>19</v>
      </c>
      <c r="BZ31" s="14">
        <f t="shared" ref="BZ31:BZ40" si="96">BX31-BP31</f>
        <v>14381.904761820027</v>
      </c>
      <c r="CA31" s="13">
        <f t="shared" ref="CA31:CA40" si="97">(BX31-BP31)/BP31</f>
        <v>0.16755431285058536</v>
      </c>
      <c r="CC31" s="42"/>
      <c r="CD31" s="15" t="s">
        <v>10</v>
      </c>
      <c r="CE31" s="12">
        <v>80</v>
      </c>
      <c r="CF31" s="14">
        <v>84152.380952130028</v>
      </c>
      <c r="CG31" s="12">
        <f t="shared" ref="CG31:CG40" si="98">CE31-BW31</f>
        <v>-25</v>
      </c>
      <c r="CH31" s="14">
        <f t="shared" ref="CH31:CH40" si="99">CF31-BX31</f>
        <v>-16063.80952362997</v>
      </c>
      <c r="CI31" s="13">
        <f t="shared" ref="CI31:CI40" si="100">(CF31-BX31)/BX31</f>
        <v>-0.16029156014980872</v>
      </c>
      <c r="CK31" s="42"/>
      <c r="CL31" s="15" t="s">
        <v>10</v>
      </c>
      <c r="CM31" s="12">
        <v>92</v>
      </c>
      <c r="CN31" s="14">
        <v>104727.61904727999</v>
      </c>
      <c r="CO31" s="12">
        <f t="shared" ref="CO31:CO40" si="101">CM31-CE31</f>
        <v>12</v>
      </c>
      <c r="CP31" s="14">
        <f t="shared" ref="CP31:CP40" si="102">CN31-CF31</f>
        <v>20575.238095149965</v>
      </c>
      <c r="CQ31" s="13">
        <f t="shared" ref="CQ31:CQ40" si="103">(CN31-CF31)/CF31</f>
        <v>0.24449977365291853</v>
      </c>
      <c r="CS31" s="42"/>
      <c r="CT31" s="15" t="s">
        <v>10</v>
      </c>
      <c r="CU31" s="12">
        <v>89</v>
      </c>
      <c r="CV31" s="14">
        <v>98869.523809149963</v>
      </c>
      <c r="CW31" s="12">
        <f t="shared" ref="CW31:CW40" si="104">CU31-CM31</f>
        <v>-3</v>
      </c>
      <c r="CX31" s="14">
        <f t="shared" ref="CX31:CX40" si="105">CV31-CN31</f>
        <v>-5858.0952381300303</v>
      </c>
      <c r="CY31" s="13">
        <f t="shared" ref="CY31:CY40" si="106">(CV31-CN31)/CN31</f>
        <v>-5.5936488305776848E-2</v>
      </c>
    </row>
    <row r="32" spans="1:103" s="12" customFormat="1" ht="20" customHeight="1">
      <c r="A32" s="42"/>
      <c r="B32" s="15" t="s">
        <v>9</v>
      </c>
      <c r="C32" s="12">
        <v>89</v>
      </c>
      <c r="D32" s="14">
        <v>86116.190476069998</v>
      </c>
      <c r="F32" s="14"/>
      <c r="G32" s="13"/>
      <c r="I32" s="42"/>
      <c r="J32" s="15" t="s">
        <v>9</v>
      </c>
      <c r="K32" s="12">
        <v>111</v>
      </c>
      <c r="L32" s="14">
        <v>129334.28571412001</v>
      </c>
      <c r="M32" s="12">
        <f t="shared" si="71"/>
        <v>22</v>
      </c>
      <c r="N32" s="14">
        <f t="shared" si="72"/>
        <v>43218.095238050009</v>
      </c>
      <c r="O32" s="13">
        <f t="shared" si="73"/>
        <v>0.50185795492265151</v>
      </c>
      <c r="Q32" s="42"/>
      <c r="R32" s="15" t="s">
        <v>9</v>
      </c>
      <c r="S32" s="12">
        <v>86</v>
      </c>
      <c r="T32" s="14">
        <v>79935.238095119988</v>
      </c>
      <c r="U32" s="12">
        <f t="shared" si="74"/>
        <v>-25</v>
      </c>
      <c r="V32" s="14">
        <f t="shared" si="75"/>
        <v>-49399.047619000019</v>
      </c>
      <c r="W32" s="13">
        <f t="shared" si="76"/>
        <v>-0.38194858653483021</v>
      </c>
      <c r="Y32" s="42"/>
      <c r="Z32" s="15" t="s">
        <v>9</v>
      </c>
      <c r="AA32" s="12">
        <v>73</v>
      </c>
      <c r="AB32" s="14">
        <v>74799.999999889988</v>
      </c>
      <c r="AC32" s="12">
        <f t="shared" si="77"/>
        <v>-13</v>
      </c>
      <c r="AD32" s="14">
        <f t="shared" si="78"/>
        <v>-5135.2380952300009</v>
      </c>
      <c r="AE32" s="13">
        <f t="shared" si="79"/>
        <v>-6.4242482009239238E-2</v>
      </c>
      <c r="AG32" s="42"/>
      <c r="AH32" s="15" t="s">
        <v>9</v>
      </c>
      <c r="AI32" s="12">
        <v>81</v>
      </c>
      <c r="AJ32" s="14">
        <v>66534.285714160011</v>
      </c>
      <c r="AK32" s="12">
        <f t="shared" si="80"/>
        <v>8</v>
      </c>
      <c r="AL32" s="14">
        <f t="shared" si="81"/>
        <v>-8265.7142857299768</v>
      </c>
      <c r="AM32" s="13">
        <f t="shared" si="82"/>
        <v>-0.11050420168104456</v>
      </c>
      <c r="AO32" s="42"/>
      <c r="AP32" s="15" t="s">
        <v>9</v>
      </c>
      <c r="AQ32" s="12">
        <v>83</v>
      </c>
      <c r="AR32" s="14">
        <v>76679.047618929995</v>
      </c>
      <c r="AS32" s="12">
        <f t="shared" si="83"/>
        <v>2</v>
      </c>
      <c r="AT32" s="14">
        <f t="shared" si="84"/>
        <v>10144.761904769985</v>
      </c>
      <c r="AU32" s="13">
        <f t="shared" si="85"/>
        <v>0.15247419876653082</v>
      </c>
      <c r="AW32" s="42"/>
      <c r="AX32" s="15" t="s">
        <v>9</v>
      </c>
      <c r="AY32" s="12">
        <v>100</v>
      </c>
      <c r="AZ32" s="14">
        <v>105796.19047608999</v>
      </c>
      <c r="BA32" s="12">
        <f t="shared" si="86"/>
        <v>17</v>
      </c>
      <c r="BB32" s="14">
        <f t="shared" si="87"/>
        <v>29117.142857159997</v>
      </c>
      <c r="BC32" s="13">
        <f t="shared" si="88"/>
        <v>0.37972749742358247</v>
      </c>
      <c r="BE32" s="42"/>
      <c r="BF32" s="15" t="s">
        <v>9</v>
      </c>
      <c r="BG32" s="12">
        <v>79</v>
      </c>
      <c r="BH32" s="14">
        <v>65733.333333250004</v>
      </c>
      <c r="BI32" s="12">
        <f t="shared" si="89"/>
        <v>-21</v>
      </c>
      <c r="BJ32" s="14">
        <f t="shared" si="90"/>
        <v>-40062.857142839988</v>
      </c>
      <c r="BK32" s="13">
        <f t="shared" si="91"/>
        <v>-0.3786795815856358</v>
      </c>
      <c r="BL32" s="35"/>
      <c r="BM32" s="42"/>
      <c r="BN32" s="15" t="s">
        <v>9</v>
      </c>
      <c r="BO32" s="12">
        <v>72</v>
      </c>
      <c r="BP32" s="14">
        <v>65679.047618880009</v>
      </c>
      <c r="BQ32" s="12">
        <f t="shared" si="92"/>
        <v>-7</v>
      </c>
      <c r="BR32" s="14">
        <f t="shared" si="93"/>
        <v>-54.285714369994821</v>
      </c>
      <c r="BS32" s="13">
        <f t="shared" si="94"/>
        <v>-8.2584758169468005E-4</v>
      </c>
      <c r="BU32" s="42"/>
      <c r="BV32" s="15" t="s">
        <v>9</v>
      </c>
      <c r="BW32" s="12">
        <v>75</v>
      </c>
      <c r="BX32" s="14">
        <v>84676.190476020012</v>
      </c>
      <c r="BY32" s="12">
        <f t="shared" si="95"/>
        <v>3</v>
      </c>
      <c r="BZ32" s="14">
        <f t="shared" si="96"/>
        <v>18997.142857140003</v>
      </c>
      <c r="CA32" s="13">
        <f t="shared" si="97"/>
        <v>0.28924205733578739</v>
      </c>
      <c r="CC32" s="42"/>
      <c r="CD32" s="15" t="s">
        <v>9</v>
      </c>
      <c r="CE32" s="12">
        <v>54</v>
      </c>
      <c r="CF32" s="14">
        <v>82686.666666570003</v>
      </c>
      <c r="CG32" s="12">
        <f t="shared" si="98"/>
        <v>-21</v>
      </c>
      <c r="CH32" s="14">
        <f t="shared" si="99"/>
        <v>-1989.5238094500091</v>
      </c>
      <c r="CI32" s="13">
        <f t="shared" si="100"/>
        <v>-2.3495669777603364E-2</v>
      </c>
      <c r="CK32" s="42"/>
      <c r="CL32" s="15" t="s">
        <v>9</v>
      </c>
      <c r="CM32" s="12">
        <v>88</v>
      </c>
      <c r="CN32" s="14">
        <v>98943.809523649965</v>
      </c>
      <c r="CO32" s="12">
        <f t="shared" si="101"/>
        <v>34</v>
      </c>
      <c r="CP32" s="14">
        <f t="shared" si="102"/>
        <v>16257.142857079962</v>
      </c>
      <c r="CQ32" s="13">
        <f t="shared" si="103"/>
        <v>0.19661141889581915</v>
      </c>
      <c r="CS32" s="42"/>
      <c r="CT32" s="15" t="s">
        <v>9</v>
      </c>
      <c r="CU32" s="12">
        <v>72</v>
      </c>
      <c r="CV32" s="14">
        <v>81553.333333209986</v>
      </c>
      <c r="CW32" s="12">
        <f t="shared" si="104"/>
        <v>-16</v>
      </c>
      <c r="CX32" s="14">
        <f t="shared" si="105"/>
        <v>-17390.476190439978</v>
      </c>
      <c r="CY32" s="13">
        <f t="shared" si="106"/>
        <v>-0.17576113426563825</v>
      </c>
    </row>
    <row r="33" spans="1:103" s="12" customFormat="1" ht="20" customHeight="1">
      <c r="A33" s="16"/>
      <c r="B33" s="15" t="s">
        <v>8</v>
      </c>
      <c r="C33" s="12">
        <v>23</v>
      </c>
      <c r="D33" s="14">
        <v>144116.19047616998</v>
      </c>
      <c r="F33" s="14"/>
      <c r="G33" s="13"/>
      <c r="I33" s="16"/>
      <c r="J33" s="15" t="s">
        <v>8</v>
      </c>
      <c r="K33" s="12">
        <v>17</v>
      </c>
      <c r="L33" s="14">
        <v>96409.523809509992</v>
      </c>
      <c r="M33" s="12">
        <f t="shared" si="71"/>
        <v>-6</v>
      </c>
      <c r="N33" s="14">
        <f t="shared" si="72"/>
        <v>-47706.666666659992</v>
      </c>
      <c r="O33" s="13">
        <f t="shared" si="73"/>
        <v>-0.33102919601908587</v>
      </c>
      <c r="Q33" s="16"/>
      <c r="R33" s="15" t="s">
        <v>8</v>
      </c>
      <c r="S33" s="12">
        <v>8</v>
      </c>
      <c r="T33" s="14">
        <v>44685.7142857</v>
      </c>
      <c r="U33" s="12">
        <f t="shared" si="74"/>
        <v>-9</v>
      </c>
      <c r="V33" s="14">
        <f t="shared" si="75"/>
        <v>-51723.809523809992</v>
      </c>
      <c r="W33" s="13">
        <f t="shared" si="76"/>
        <v>-0.53650103724200604</v>
      </c>
      <c r="Y33" s="16"/>
      <c r="Z33" s="15" t="s">
        <v>8</v>
      </c>
      <c r="AA33" s="12">
        <v>17</v>
      </c>
      <c r="AB33" s="14">
        <v>119266.66666665</v>
      </c>
      <c r="AC33" s="12">
        <f t="shared" si="77"/>
        <v>9</v>
      </c>
      <c r="AD33" s="14">
        <f t="shared" si="78"/>
        <v>74580.952380949995</v>
      </c>
      <c r="AE33" s="13">
        <f t="shared" si="79"/>
        <v>1.6690110826944273</v>
      </c>
      <c r="AG33" s="16"/>
      <c r="AH33" s="15" t="s">
        <v>8</v>
      </c>
      <c r="AI33" s="12">
        <v>10</v>
      </c>
      <c r="AJ33" s="14">
        <v>81333.333333329996</v>
      </c>
      <c r="AK33" s="12">
        <f t="shared" si="80"/>
        <v>-7</v>
      </c>
      <c r="AL33" s="14">
        <f t="shared" si="81"/>
        <v>-37933.333333319999</v>
      </c>
      <c r="AM33" s="13">
        <f t="shared" si="82"/>
        <v>-0.31805477920619313</v>
      </c>
      <c r="AO33" s="16"/>
      <c r="AP33" s="15" t="s">
        <v>8</v>
      </c>
      <c r="AQ33" s="12">
        <v>10</v>
      </c>
      <c r="AR33" s="14">
        <v>80977.142857130006</v>
      </c>
      <c r="AS33" s="12">
        <f t="shared" si="83"/>
        <v>0</v>
      </c>
      <c r="AT33" s="14">
        <f t="shared" si="84"/>
        <v>-356.19047619999037</v>
      </c>
      <c r="AU33" s="13">
        <f t="shared" si="85"/>
        <v>-4.3793911008197335E-3</v>
      </c>
      <c r="AW33" s="16"/>
      <c r="AX33" s="15" t="s">
        <v>8</v>
      </c>
      <c r="AY33" s="12">
        <v>6</v>
      </c>
      <c r="AZ33" s="14">
        <v>52799.999999990003</v>
      </c>
      <c r="BA33" s="12">
        <f t="shared" si="86"/>
        <v>-4</v>
      </c>
      <c r="BB33" s="14">
        <f t="shared" si="87"/>
        <v>-28177.142857140003</v>
      </c>
      <c r="BC33" s="13">
        <f t="shared" si="88"/>
        <v>-0.34796415214171783</v>
      </c>
      <c r="BE33" s="16"/>
      <c r="BF33" s="15" t="s">
        <v>8</v>
      </c>
      <c r="BG33" s="12">
        <v>7</v>
      </c>
      <c r="BH33" s="14">
        <v>49933.333333330003</v>
      </c>
      <c r="BI33" s="12">
        <f t="shared" si="89"/>
        <v>1</v>
      </c>
      <c r="BJ33" s="14">
        <f t="shared" si="90"/>
        <v>-2866.6666666599995</v>
      </c>
      <c r="BK33" s="13">
        <f t="shared" si="91"/>
        <v>-5.4292929292813298E-2</v>
      </c>
      <c r="BL33" s="35"/>
      <c r="BM33" s="16"/>
      <c r="BN33" s="15" t="s">
        <v>8</v>
      </c>
      <c r="BO33" s="12">
        <v>10</v>
      </c>
      <c r="BP33" s="14">
        <v>101333.33333332001</v>
      </c>
      <c r="BQ33" s="12">
        <f t="shared" si="92"/>
        <v>3</v>
      </c>
      <c r="BR33" s="14">
        <f t="shared" si="93"/>
        <v>51399.99999999001</v>
      </c>
      <c r="BS33" s="13">
        <f t="shared" si="94"/>
        <v>1.029372496662085</v>
      </c>
      <c r="BU33" s="16"/>
      <c r="BV33" s="15" t="s">
        <v>8</v>
      </c>
      <c r="BW33" s="12">
        <v>24</v>
      </c>
      <c r="BX33" s="14">
        <v>139486.66666665999</v>
      </c>
      <c r="BY33" s="12">
        <f t="shared" si="95"/>
        <v>14</v>
      </c>
      <c r="BZ33" s="14">
        <f t="shared" si="96"/>
        <v>38153.333333339979</v>
      </c>
      <c r="CA33" s="13">
        <f t="shared" si="97"/>
        <v>0.3765131578948519</v>
      </c>
      <c r="CC33" s="16"/>
      <c r="CD33" s="15" t="s">
        <v>8</v>
      </c>
      <c r="CE33" s="12">
        <v>33</v>
      </c>
      <c r="CF33" s="14">
        <v>192258.09523808002</v>
      </c>
      <c r="CG33" s="12">
        <f t="shared" si="98"/>
        <v>9</v>
      </c>
      <c r="CH33" s="14">
        <f t="shared" si="99"/>
        <v>52771.428571420023</v>
      </c>
      <c r="CI33" s="13">
        <f t="shared" si="100"/>
        <v>0.37832597073619378</v>
      </c>
      <c r="CK33" s="16"/>
      <c r="CL33" s="15" t="s">
        <v>8</v>
      </c>
      <c r="CM33" s="12">
        <v>33</v>
      </c>
      <c r="CN33" s="14">
        <v>202542.85714285</v>
      </c>
      <c r="CO33" s="12">
        <f t="shared" si="101"/>
        <v>0</v>
      </c>
      <c r="CP33" s="14">
        <f t="shared" si="102"/>
        <v>10284.761904769985</v>
      </c>
      <c r="CQ33" s="13">
        <f t="shared" si="103"/>
        <v>5.3494558406157092E-2</v>
      </c>
      <c r="CS33" s="16"/>
      <c r="CT33" s="15" t="s">
        <v>8</v>
      </c>
      <c r="CU33" s="12">
        <v>26</v>
      </c>
      <c r="CV33" s="14">
        <v>175466.66666664998</v>
      </c>
      <c r="CW33" s="12">
        <f t="shared" si="104"/>
        <v>-7</v>
      </c>
      <c r="CX33" s="14">
        <f t="shared" si="105"/>
        <v>-27076.190476200019</v>
      </c>
      <c r="CY33" s="13">
        <f t="shared" si="106"/>
        <v>-0.13368129026195996</v>
      </c>
    </row>
    <row r="34" spans="1:103" s="12" customFormat="1" ht="20" customHeight="1">
      <c r="A34" s="16"/>
      <c r="B34" s="15" t="s">
        <v>7</v>
      </c>
      <c r="C34" s="12">
        <v>26</v>
      </c>
      <c r="D34" s="14">
        <v>366285.71428563999</v>
      </c>
      <c r="F34" s="14"/>
      <c r="G34" s="13"/>
      <c r="I34" s="16"/>
      <c r="J34" s="15" t="s">
        <v>7</v>
      </c>
      <c r="K34" s="12">
        <v>18</v>
      </c>
      <c r="L34" s="14">
        <v>234666.66666664003</v>
      </c>
      <c r="M34" s="12">
        <f t="shared" si="71"/>
        <v>-8</v>
      </c>
      <c r="N34" s="14">
        <f t="shared" si="72"/>
        <v>-131619.04761899996</v>
      </c>
      <c r="O34" s="13">
        <f t="shared" si="73"/>
        <v>-0.35933437337487778</v>
      </c>
      <c r="Q34" s="16"/>
      <c r="R34" s="15" t="s">
        <v>7</v>
      </c>
      <c r="S34" s="12">
        <v>11</v>
      </c>
      <c r="T34" s="14">
        <v>154528.57142854002</v>
      </c>
      <c r="U34" s="12">
        <f t="shared" si="74"/>
        <v>-7</v>
      </c>
      <c r="V34" s="14">
        <f t="shared" si="75"/>
        <v>-80138.09523810001</v>
      </c>
      <c r="W34" s="13">
        <f t="shared" si="76"/>
        <v>-0.34149756493512401</v>
      </c>
      <c r="Y34" s="16"/>
      <c r="Z34" s="15" t="s">
        <v>7</v>
      </c>
      <c r="AA34" s="12">
        <v>19</v>
      </c>
      <c r="AB34" s="14">
        <v>350380.95238091005</v>
      </c>
      <c r="AC34" s="12">
        <f t="shared" si="77"/>
        <v>8</v>
      </c>
      <c r="AD34" s="14">
        <f t="shared" si="78"/>
        <v>195852.38095237003</v>
      </c>
      <c r="AE34" s="13">
        <f t="shared" si="79"/>
        <v>1.2674185695357945</v>
      </c>
      <c r="AG34" s="16"/>
      <c r="AH34" s="15" t="s">
        <v>7</v>
      </c>
      <c r="AI34" s="12">
        <v>24</v>
      </c>
      <c r="AJ34" s="14">
        <v>396190.47619041009</v>
      </c>
      <c r="AK34" s="12">
        <f t="shared" si="80"/>
        <v>5</v>
      </c>
      <c r="AL34" s="14">
        <f t="shared" si="81"/>
        <v>45809.523809500039</v>
      </c>
      <c r="AM34" s="13">
        <f t="shared" si="82"/>
        <v>0.13074204946991261</v>
      </c>
      <c r="AO34" s="16"/>
      <c r="AP34" s="15" t="s">
        <v>7</v>
      </c>
      <c r="AQ34" s="12">
        <v>24</v>
      </c>
      <c r="AR34" s="14">
        <v>323619.04761900002</v>
      </c>
      <c r="AS34" s="12">
        <f t="shared" si="83"/>
        <v>0</v>
      </c>
      <c r="AT34" s="14">
        <f t="shared" si="84"/>
        <v>-72571.42857141007</v>
      </c>
      <c r="AU34" s="13">
        <f t="shared" si="85"/>
        <v>-0.18317307692306078</v>
      </c>
      <c r="AW34" s="16"/>
      <c r="AX34" s="15" t="s">
        <v>7</v>
      </c>
      <c r="AY34" s="12">
        <v>14</v>
      </c>
      <c r="AZ34" s="14">
        <v>217142.85714283003</v>
      </c>
      <c r="BA34" s="12">
        <f t="shared" si="86"/>
        <v>-10</v>
      </c>
      <c r="BB34" s="14">
        <f t="shared" si="87"/>
        <v>-106476.19047616998</v>
      </c>
      <c r="BC34" s="13">
        <f t="shared" si="88"/>
        <v>-0.32901706886402277</v>
      </c>
      <c r="BE34" s="16"/>
      <c r="BF34" s="15" t="s">
        <v>7</v>
      </c>
      <c r="BG34" s="12">
        <v>22</v>
      </c>
      <c r="BH34" s="14">
        <v>305902.85714281001</v>
      </c>
      <c r="BI34" s="12">
        <f t="shared" si="89"/>
        <v>8</v>
      </c>
      <c r="BJ34" s="14">
        <f t="shared" si="90"/>
        <v>88759.999999979977</v>
      </c>
      <c r="BK34" s="13">
        <f t="shared" si="91"/>
        <v>0.40876315789469564</v>
      </c>
      <c r="BL34" s="35"/>
      <c r="BM34" s="16"/>
      <c r="BN34" s="15" t="s">
        <v>7</v>
      </c>
      <c r="BO34" s="12">
        <v>17</v>
      </c>
      <c r="BP34" s="14">
        <v>214377.14285711999</v>
      </c>
      <c r="BQ34" s="12">
        <f t="shared" si="92"/>
        <v>-5</v>
      </c>
      <c r="BR34" s="14">
        <f t="shared" si="93"/>
        <v>-91525.714285690017</v>
      </c>
      <c r="BS34" s="13">
        <f t="shared" si="94"/>
        <v>-0.29919862514707229</v>
      </c>
      <c r="BU34" s="16"/>
      <c r="BV34" s="15" t="s">
        <v>7</v>
      </c>
      <c r="BW34" s="12">
        <v>11</v>
      </c>
      <c r="BX34" s="14">
        <v>162952.38095234003</v>
      </c>
      <c r="BY34" s="12">
        <f t="shared" si="95"/>
        <v>-6</v>
      </c>
      <c r="BZ34" s="14">
        <f t="shared" si="96"/>
        <v>-51424.761904779967</v>
      </c>
      <c r="CA34" s="13">
        <f t="shared" si="97"/>
        <v>-0.23987987347631554</v>
      </c>
      <c r="CC34" s="16"/>
      <c r="CD34" s="15" t="s">
        <v>7</v>
      </c>
      <c r="CE34" s="12">
        <v>17</v>
      </c>
      <c r="CF34" s="14">
        <v>267142.85714281007</v>
      </c>
      <c r="CG34" s="12">
        <f t="shared" si="98"/>
        <v>6</v>
      </c>
      <c r="CH34" s="14">
        <f t="shared" si="99"/>
        <v>104190.47619047004</v>
      </c>
      <c r="CI34" s="13">
        <f t="shared" si="100"/>
        <v>0.63939216832274126</v>
      </c>
      <c r="CK34" s="16"/>
      <c r="CL34" s="15" t="s">
        <v>7</v>
      </c>
      <c r="CM34" s="12">
        <v>23</v>
      </c>
      <c r="CN34" s="14">
        <v>290108.57142852998</v>
      </c>
      <c r="CO34" s="12">
        <f t="shared" si="101"/>
        <v>6</v>
      </c>
      <c r="CP34" s="14">
        <f t="shared" si="102"/>
        <v>22965.714285719907</v>
      </c>
      <c r="CQ34" s="13">
        <f t="shared" si="103"/>
        <v>8.5967914438538864E-2</v>
      </c>
      <c r="CS34" s="16"/>
      <c r="CT34" s="15" t="s">
        <v>7</v>
      </c>
      <c r="CU34" s="12">
        <v>21</v>
      </c>
      <c r="CV34" s="14">
        <v>233839.99999995</v>
      </c>
      <c r="CW34" s="12">
        <f t="shared" si="104"/>
        <v>-2</v>
      </c>
      <c r="CX34" s="14">
        <f t="shared" si="105"/>
        <v>-56268.571428579977</v>
      </c>
      <c r="CY34" s="13">
        <f t="shared" si="106"/>
        <v>-0.19395694222858245</v>
      </c>
    </row>
    <row r="35" spans="1:103" s="12" customFormat="1" ht="20" customHeight="1">
      <c r="A35" s="16"/>
      <c r="B35" s="15" t="s">
        <v>6</v>
      </c>
      <c r="C35" s="12">
        <v>2</v>
      </c>
      <c r="D35" s="14">
        <v>7628.5714285600006</v>
      </c>
      <c r="F35" s="14"/>
      <c r="G35" s="13"/>
      <c r="I35" s="16"/>
      <c r="J35" s="15" t="s">
        <v>6</v>
      </c>
      <c r="K35" s="12">
        <v>4</v>
      </c>
      <c r="L35" s="14">
        <v>11228.571428560001</v>
      </c>
      <c r="M35" s="12">
        <f t="shared" si="71"/>
        <v>2</v>
      </c>
      <c r="N35" s="14">
        <f t="shared" si="72"/>
        <v>3600</v>
      </c>
      <c r="O35" s="13">
        <f t="shared" si="73"/>
        <v>0.47191011236025748</v>
      </c>
      <c r="Q35" s="16"/>
      <c r="R35" s="15" t="s">
        <v>6</v>
      </c>
      <c r="S35" s="12">
        <v>4</v>
      </c>
      <c r="T35" s="14">
        <v>17428.571428559997</v>
      </c>
      <c r="U35" s="12">
        <f t="shared" si="74"/>
        <v>0</v>
      </c>
      <c r="V35" s="14">
        <f t="shared" si="75"/>
        <v>6199.9999999999964</v>
      </c>
      <c r="W35" s="13">
        <f t="shared" si="76"/>
        <v>0.55216284987333519</v>
      </c>
      <c r="Y35" s="16"/>
      <c r="Z35" s="15" t="s">
        <v>6</v>
      </c>
      <c r="AA35" s="12">
        <v>0</v>
      </c>
      <c r="AB35" s="14">
        <v>0</v>
      </c>
      <c r="AC35" s="12">
        <f t="shared" si="77"/>
        <v>-4</v>
      </c>
      <c r="AD35" s="14">
        <f t="shared" si="78"/>
        <v>-17428.571428559997</v>
      </c>
      <c r="AE35" s="13">
        <f t="shared" si="79"/>
        <v>-1</v>
      </c>
      <c r="AG35" s="16"/>
      <c r="AH35" s="15" t="s">
        <v>6</v>
      </c>
      <c r="AI35" s="12">
        <v>3</v>
      </c>
      <c r="AJ35" s="14">
        <v>14571.42857142</v>
      </c>
      <c r="AK35" s="12">
        <f t="shared" si="80"/>
        <v>3</v>
      </c>
      <c r="AL35" s="14">
        <f t="shared" si="81"/>
        <v>14571.42857142</v>
      </c>
      <c r="AM35" s="13" t="e">
        <f t="shared" si="82"/>
        <v>#DIV/0!</v>
      </c>
      <c r="AO35" s="16"/>
      <c r="AP35" s="15" t="s">
        <v>6</v>
      </c>
      <c r="AQ35" s="12">
        <v>2</v>
      </c>
      <c r="AR35" s="14">
        <v>5714.2857142800003</v>
      </c>
      <c r="AS35" s="12">
        <f t="shared" si="83"/>
        <v>-1</v>
      </c>
      <c r="AT35" s="14">
        <f t="shared" si="84"/>
        <v>-8857.1428571399993</v>
      </c>
      <c r="AU35" s="13">
        <f t="shared" si="85"/>
        <v>-0.60784313725506345</v>
      </c>
      <c r="AW35" s="16"/>
      <c r="AX35" s="15" t="s">
        <v>6</v>
      </c>
      <c r="AY35" s="12">
        <v>3</v>
      </c>
      <c r="AZ35" s="14">
        <v>8571.4285714200014</v>
      </c>
      <c r="BA35" s="12">
        <f t="shared" si="86"/>
        <v>1</v>
      </c>
      <c r="BB35" s="14">
        <f t="shared" si="87"/>
        <v>2857.1428571400011</v>
      </c>
      <c r="BC35" s="13">
        <f t="shared" si="88"/>
        <v>0.50000000000000011</v>
      </c>
      <c r="BE35" s="16"/>
      <c r="BF35" s="15" t="s">
        <v>6</v>
      </c>
      <c r="BG35" s="12">
        <v>2</v>
      </c>
      <c r="BH35" s="14">
        <v>11116.19047618</v>
      </c>
      <c r="BI35" s="12">
        <f t="shared" si="89"/>
        <v>-1</v>
      </c>
      <c r="BJ35" s="14">
        <f t="shared" si="90"/>
        <v>2544.7619047599983</v>
      </c>
      <c r="BK35" s="13">
        <f t="shared" si="91"/>
        <v>0.29688888888896331</v>
      </c>
      <c r="BL35" s="35"/>
      <c r="BM35" s="16"/>
      <c r="BN35" s="15" t="s">
        <v>6</v>
      </c>
      <c r="BO35" s="12">
        <v>4</v>
      </c>
      <c r="BP35" s="14">
        <v>21824.761904739997</v>
      </c>
      <c r="BQ35" s="12">
        <f t="shared" si="92"/>
        <v>2</v>
      </c>
      <c r="BR35" s="14">
        <f t="shared" si="93"/>
        <v>10708.571428559997</v>
      </c>
      <c r="BS35" s="13">
        <f t="shared" si="94"/>
        <v>0.96333104866334762</v>
      </c>
      <c r="BU35" s="16"/>
      <c r="BV35" s="15" t="s">
        <v>6</v>
      </c>
      <c r="BW35" s="12">
        <v>3</v>
      </c>
      <c r="BX35" s="14">
        <v>8571.4285714200014</v>
      </c>
      <c r="BY35" s="12">
        <f t="shared" si="95"/>
        <v>-1</v>
      </c>
      <c r="BZ35" s="14">
        <f t="shared" si="96"/>
        <v>-13253.333333319995</v>
      </c>
      <c r="CA35" s="13">
        <f t="shared" si="97"/>
        <v>-0.60726130214696994</v>
      </c>
      <c r="CC35" s="16"/>
      <c r="CD35" s="15" t="s">
        <v>6</v>
      </c>
      <c r="CE35" s="12">
        <v>2</v>
      </c>
      <c r="CF35" s="14">
        <v>5714.2857142800003</v>
      </c>
      <c r="CG35" s="12">
        <f t="shared" si="98"/>
        <v>-1</v>
      </c>
      <c r="CH35" s="14">
        <f t="shared" si="99"/>
        <v>-2857.1428571400011</v>
      </c>
      <c r="CI35" s="13">
        <f t="shared" si="100"/>
        <v>-0.33333333333333343</v>
      </c>
      <c r="CK35" s="16"/>
      <c r="CL35" s="15" t="s">
        <v>6</v>
      </c>
      <c r="CM35" s="12">
        <v>3</v>
      </c>
      <c r="CN35" s="14">
        <v>8571.4285714200014</v>
      </c>
      <c r="CO35" s="12">
        <f t="shared" si="101"/>
        <v>1</v>
      </c>
      <c r="CP35" s="14">
        <f t="shared" si="102"/>
        <v>2857.1428571400011</v>
      </c>
      <c r="CQ35" s="13">
        <f t="shared" si="103"/>
        <v>0.50000000000000011</v>
      </c>
      <c r="CS35" s="16"/>
      <c r="CT35" s="15" t="s">
        <v>6</v>
      </c>
      <c r="CU35" s="12">
        <v>3</v>
      </c>
      <c r="CV35" s="14">
        <v>8571.4285714200014</v>
      </c>
      <c r="CW35" s="12">
        <f t="shared" si="104"/>
        <v>0</v>
      </c>
      <c r="CX35" s="14">
        <f t="shared" si="105"/>
        <v>0</v>
      </c>
      <c r="CY35" s="13">
        <f t="shared" si="106"/>
        <v>0</v>
      </c>
    </row>
    <row r="36" spans="1:103" s="12" customFormat="1" ht="20" customHeight="1">
      <c r="A36" s="16"/>
      <c r="B36" s="15" t="s">
        <v>5</v>
      </c>
      <c r="C36" s="12">
        <v>5</v>
      </c>
      <c r="D36" s="14">
        <v>28650</v>
      </c>
      <c r="F36" s="14"/>
      <c r="G36" s="13"/>
      <c r="I36" s="16"/>
      <c r="J36" s="15" t="s">
        <v>5</v>
      </c>
      <c r="K36" s="12">
        <v>4</v>
      </c>
      <c r="L36" s="14">
        <v>16460</v>
      </c>
      <c r="M36" s="12">
        <f t="shared" si="71"/>
        <v>-1</v>
      </c>
      <c r="N36" s="14">
        <f t="shared" si="72"/>
        <v>-12190</v>
      </c>
      <c r="O36" s="13">
        <f t="shared" si="73"/>
        <v>-0.42547993019197206</v>
      </c>
      <c r="Q36" s="16"/>
      <c r="R36" s="15" t="s">
        <v>5</v>
      </c>
      <c r="S36" s="12">
        <v>3</v>
      </c>
      <c r="T36" s="14">
        <v>12780</v>
      </c>
      <c r="U36" s="12">
        <f t="shared" si="74"/>
        <v>-1</v>
      </c>
      <c r="V36" s="14">
        <f t="shared" si="75"/>
        <v>-3680</v>
      </c>
      <c r="W36" s="13">
        <f t="shared" si="76"/>
        <v>-0.22357229647630619</v>
      </c>
      <c r="Y36" s="16"/>
      <c r="Z36" s="15" t="s">
        <v>5</v>
      </c>
      <c r="AA36" s="12">
        <v>1</v>
      </c>
      <c r="AB36" s="14">
        <v>2590</v>
      </c>
      <c r="AC36" s="12">
        <f t="shared" si="77"/>
        <v>-2</v>
      </c>
      <c r="AD36" s="14">
        <f t="shared" si="78"/>
        <v>-10190</v>
      </c>
      <c r="AE36" s="13">
        <f t="shared" si="79"/>
        <v>-0.79733959311424096</v>
      </c>
      <c r="AG36" s="16"/>
      <c r="AH36" s="15" t="s">
        <v>5</v>
      </c>
      <c r="AI36" s="12">
        <v>3</v>
      </c>
      <c r="AJ36" s="14">
        <v>4870</v>
      </c>
      <c r="AK36" s="12">
        <f t="shared" si="80"/>
        <v>2</v>
      </c>
      <c r="AL36" s="14">
        <f t="shared" si="81"/>
        <v>2280</v>
      </c>
      <c r="AM36" s="13">
        <f t="shared" si="82"/>
        <v>0.88030888030888033</v>
      </c>
      <c r="AO36" s="16"/>
      <c r="AP36" s="15" t="s">
        <v>5</v>
      </c>
      <c r="AQ36" s="12">
        <v>4</v>
      </c>
      <c r="AR36" s="14">
        <v>11560</v>
      </c>
      <c r="AS36" s="12">
        <f t="shared" si="83"/>
        <v>1</v>
      </c>
      <c r="AT36" s="14">
        <f t="shared" si="84"/>
        <v>6690</v>
      </c>
      <c r="AU36" s="13">
        <f t="shared" si="85"/>
        <v>1.3737166324435319</v>
      </c>
      <c r="AW36" s="16"/>
      <c r="AX36" s="15" t="s">
        <v>5</v>
      </c>
      <c r="AY36" s="12">
        <v>2</v>
      </c>
      <c r="AZ36" s="14">
        <v>5780</v>
      </c>
      <c r="BA36" s="12">
        <f t="shared" si="86"/>
        <v>-2</v>
      </c>
      <c r="BB36" s="14">
        <f t="shared" si="87"/>
        <v>-5780</v>
      </c>
      <c r="BC36" s="13">
        <f t="shared" si="88"/>
        <v>-0.5</v>
      </c>
      <c r="BE36" s="16"/>
      <c r="BF36" s="15" t="s">
        <v>5</v>
      </c>
      <c r="BG36" s="12">
        <v>2</v>
      </c>
      <c r="BH36" s="14">
        <v>5180</v>
      </c>
      <c r="BI36" s="12">
        <f t="shared" si="89"/>
        <v>0</v>
      </c>
      <c r="BJ36" s="14">
        <f t="shared" si="90"/>
        <v>-600</v>
      </c>
      <c r="BK36" s="13">
        <f t="shared" si="91"/>
        <v>-0.10380622837370242</v>
      </c>
      <c r="BL36" s="35"/>
      <c r="BM36" s="16"/>
      <c r="BN36" s="15" t="s">
        <v>5</v>
      </c>
      <c r="BO36" s="12">
        <v>3</v>
      </c>
      <c r="BP36" s="14">
        <v>11570</v>
      </c>
      <c r="BQ36" s="12">
        <f t="shared" si="92"/>
        <v>1</v>
      </c>
      <c r="BR36" s="14">
        <f t="shared" si="93"/>
        <v>6390</v>
      </c>
      <c r="BS36" s="13">
        <f t="shared" si="94"/>
        <v>1.2335907335907337</v>
      </c>
      <c r="BU36" s="16"/>
      <c r="BV36" s="15" t="s">
        <v>5</v>
      </c>
      <c r="BW36" s="12">
        <v>0</v>
      </c>
      <c r="BX36" s="14">
        <v>0</v>
      </c>
      <c r="BY36" s="12">
        <f t="shared" si="95"/>
        <v>-3</v>
      </c>
      <c r="BZ36" s="14">
        <f t="shared" si="96"/>
        <v>-11570</v>
      </c>
      <c r="CA36" s="13">
        <f t="shared" si="97"/>
        <v>-1</v>
      </c>
      <c r="CC36" s="16"/>
      <c r="CD36" s="15" t="s">
        <v>5</v>
      </c>
      <c r="CE36" s="12">
        <v>5</v>
      </c>
      <c r="CF36" s="14">
        <v>12650</v>
      </c>
      <c r="CG36" s="12">
        <f t="shared" si="98"/>
        <v>5</v>
      </c>
      <c r="CH36" s="14">
        <f t="shared" si="99"/>
        <v>12650</v>
      </c>
      <c r="CI36" s="13" t="e">
        <f t="shared" si="100"/>
        <v>#DIV/0!</v>
      </c>
      <c r="CK36" s="16"/>
      <c r="CL36" s="15" t="s">
        <v>5</v>
      </c>
      <c r="CM36" s="12">
        <v>1</v>
      </c>
      <c r="CN36" s="14">
        <v>3190</v>
      </c>
      <c r="CO36" s="12">
        <f t="shared" si="101"/>
        <v>-4</v>
      </c>
      <c r="CP36" s="14">
        <f t="shared" si="102"/>
        <v>-9460</v>
      </c>
      <c r="CQ36" s="13">
        <f t="shared" si="103"/>
        <v>-0.74782608695652175</v>
      </c>
      <c r="CS36" s="16"/>
      <c r="CT36" s="15" t="s">
        <v>5</v>
      </c>
      <c r="CU36" s="12">
        <v>1</v>
      </c>
      <c r="CV36" s="14">
        <v>6290</v>
      </c>
      <c r="CW36" s="12">
        <f t="shared" si="104"/>
        <v>0</v>
      </c>
      <c r="CX36" s="14">
        <f t="shared" si="105"/>
        <v>3100</v>
      </c>
      <c r="CY36" s="13">
        <f t="shared" si="106"/>
        <v>0.97178683385579934</v>
      </c>
    </row>
    <row r="37" spans="1:103" s="12" customFormat="1" ht="20" customHeight="1">
      <c r="A37" s="16"/>
      <c r="B37" s="15" t="s">
        <v>4</v>
      </c>
      <c r="C37" s="12">
        <v>4</v>
      </c>
      <c r="D37" s="14">
        <v>238351.42857141001</v>
      </c>
      <c r="F37" s="14"/>
      <c r="G37" s="13"/>
      <c r="I37" s="16"/>
      <c r="J37" s="15" t="s">
        <v>4</v>
      </c>
      <c r="K37" s="12">
        <v>2</v>
      </c>
      <c r="L37" s="14">
        <v>77904.761904760002</v>
      </c>
      <c r="M37" s="12">
        <f t="shared" si="71"/>
        <v>-2</v>
      </c>
      <c r="N37" s="14">
        <f t="shared" si="72"/>
        <v>-160446.66666665001</v>
      </c>
      <c r="O37" s="13">
        <f t="shared" si="73"/>
        <v>-0.67315168878285214</v>
      </c>
      <c r="Q37" s="16"/>
      <c r="R37" s="15" t="s">
        <v>4</v>
      </c>
      <c r="S37" s="12">
        <v>3</v>
      </c>
      <c r="T37" s="14">
        <v>105428.57142856</v>
      </c>
      <c r="U37" s="12">
        <f t="shared" si="74"/>
        <v>1</v>
      </c>
      <c r="V37" s="14">
        <f t="shared" si="75"/>
        <v>27523.809523799995</v>
      </c>
      <c r="W37" s="13">
        <f t="shared" si="76"/>
        <v>0.35330073349621882</v>
      </c>
      <c r="Y37" s="16"/>
      <c r="Z37" s="15" t="s">
        <v>4</v>
      </c>
      <c r="AA37" s="12">
        <v>1</v>
      </c>
      <c r="AB37" s="14">
        <v>37909.523809519997</v>
      </c>
      <c r="AC37" s="12">
        <f t="shared" si="77"/>
        <v>-2</v>
      </c>
      <c r="AD37" s="14">
        <f t="shared" si="78"/>
        <v>-67519.047619040008</v>
      </c>
      <c r="AE37" s="13">
        <f t="shared" si="79"/>
        <v>-0.64042457091237304</v>
      </c>
      <c r="AG37" s="16"/>
      <c r="AH37" s="15" t="s">
        <v>4</v>
      </c>
      <c r="AI37" s="12">
        <v>1</v>
      </c>
      <c r="AJ37" s="14">
        <v>34190.476190469999</v>
      </c>
      <c r="AK37" s="12">
        <f t="shared" si="80"/>
        <v>0</v>
      </c>
      <c r="AL37" s="14">
        <f t="shared" si="81"/>
        <v>-3719.0476190499976</v>
      </c>
      <c r="AM37" s="13">
        <f t="shared" si="82"/>
        <v>-9.8103253360203244E-2</v>
      </c>
      <c r="AO37" s="16"/>
      <c r="AP37" s="15" t="s">
        <v>4</v>
      </c>
      <c r="AQ37" s="12">
        <v>2</v>
      </c>
      <c r="AR37" s="14">
        <v>125047.61904759999</v>
      </c>
      <c r="AS37" s="12">
        <f t="shared" si="83"/>
        <v>1</v>
      </c>
      <c r="AT37" s="14">
        <f t="shared" si="84"/>
        <v>90857.142857129991</v>
      </c>
      <c r="AU37" s="13">
        <f t="shared" si="85"/>
        <v>2.6573816155989909</v>
      </c>
      <c r="AW37" s="16"/>
      <c r="AX37" s="15" t="s">
        <v>4</v>
      </c>
      <c r="AY37" s="12">
        <v>4</v>
      </c>
      <c r="AZ37" s="14">
        <v>134645.71428568999</v>
      </c>
      <c r="BA37" s="12">
        <f t="shared" si="86"/>
        <v>2</v>
      </c>
      <c r="BB37" s="14">
        <f t="shared" si="87"/>
        <v>9598.095238089998</v>
      </c>
      <c r="BC37" s="13">
        <f t="shared" si="88"/>
        <v>7.6755521705986554E-2</v>
      </c>
      <c r="BE37" s="16"/>
      <c r="BF37" s="15" t="s">
        <v>4</v>
      </c>
      <c r="BG37" s="12">
        <v>1</v>
      </c>
      <c r="BH37" s="14">
        <v>40857.142857140003</v>
      </c>
      <c r="BI37" s="12">
        <f t="shared" si="89"/>
        <v>-3</v>
      </c>
      <c r="BJ37" s="14">
        <f t="shared" si="90"/>
        <v>-93788.571428549985</v>
      </c>
      <c r="BK37" s="13">
        <f t="shared" si="91"/>
        <v>-0.69655816322196706</v>
      </c>
      <c r="BL37" s="35"/>
      <c r="BM37" s="16"/>
      <c r="BN37" s="15" t="s">
        <v>4</v>
      </c>
      <c r="BO37" s="12">
        <v>1</v>
      </c>
      <c r="BP37" s="14">
        <v>30857.142857139999</v>
      </c>
      <c r="BQ37" s="12">
        <f t="shared" si="92"/>
        <v>0</v>
      </c>
      <c r="BR37" s="14">
        <f t="shared" si="93"/>
        <v>-10000.000000000004</v>
      </c>
      <c r="BS37" s="13">
        <f t="shared" si="94"/>
        <v>-0.24475524475526195</v>
      </c>
      <c r="BU37" s="16"/>
      <c r="BV37" s="15" t="s">
        <v>4</v>
      </c>
      <c r="BW37" s="12">
        <v>0</v>
      </c>
      <c r="BX37" s="14">
        <v>0</v>
      </c>
      <c r="BY37" s="12">
        <f t="shared" si="95"/>
        <v>-1</v>
      </c>
      <c r="BZ37" s="14">
        <f t="shared" si="96"/>
        <v>-30857.142857139999</v>
      </c>
      <c r="CA37" s="13">
        <f t="shared" si="97"/>
        <v>-1</v>
      </c>
      <c r="CC37" s="16"/>
      <c r="CD37" s="15" t="s">
        <v>4</v>
      </c>
      <c r="CE37" s="12">
        <v>1</v>
      </c>
      <c r="CF37" s="14">
        <v>32480.952380949999</v>
      </c>
      <c r="CG37" s="12">
        <f t="shared" si="98"/>
        <v>1</v>
      </c>
      <c r="CH37" s="14">
        <f t="shared" si="99"/>
        <v>32480.952380949999</v>
      </c>
      <c r="CI37" s="13" t="e">
        <f t="shared" si="100"/>
        <v>#DIV/0!</v>
      </c>
      <c r="CK37" s="16"/>
      <c r="CL37" s="15" t="s">
        <v>4</v>
      </c>
      <c r="CM37" s="12">
        <v>2</v>
      </c>
      <c r="CN37" s="14">
        <v>34571.428571420001</v>
      </c>
      <c r="CO37" s="12">
        <f t="shared" si="101"/>
        <v>1</v>
      </c>
      <c r="CP37" s="14">
        <f t="shared" si="102"/>
        <v>2090.4761904700026</v>
      </c>
      <c r="CQ37" s="13">
        <f t="shared" si="103"/>
        <v>6.4360064506484793E-2</v>
      </c>
      <c r="CS37" s="16"/>
      <c r="CT37" s="15" t="s">
        <v>4</v>
      </c>
      <c r="CU37" s="12">
        <v>1</v>
      </c>
      <c r="CV37" s="14">
        <v>37997.142857140003</v>
      </c>
      <c r="CW37" s="12">
        <f t="shared" si="104"/>
        <v>-1</v>
      </c>
      <c r="CX37" s="14">
        <f t="shared" si="105"/>
        <v>3425.7142857200015</v>
      </c>
      <c r="CY37" s="13">
        <f t="shared" si="106"/>
        <v>9.9090909091098994E-2</v>
      </c>
    </row>
    <row r="38" spans="1:103" s="12" customFormat="1" ht="20" customHeight="1">
      <c r="A38" s="16"/>
      <c r="B38" s="15" t="s">
        <v>3</v>
      </c>
      <c r="C38" s="12">
        <v>5</v>
      </c>
      <c r="D38" s="14">
        <v>110476.19047618</v>
      </c>
      <c r="F38" s="14"/>
      <c r="G38" s="13"/>
      <c r="I38" s="16"/>
      <c r="J38" s="15" t="s">
        <v>3</v>
      </c>
      <c r="K38" s="12">
        <v>11</v>
      </c>
      <c r="L38" s="14">
        <v>262095.23809519998</v>
      </c>
      <c r="M38" s="12">
        <f t="shared" si="71"/>
        <v>6</v>
      </c>
      <c r="N38" s="14">
        <f t="shared" si="72"/>
        <v>151619.04761901998</v>
      </c>
      <c r="O38" s="13">
        <f t="shared" si="73"/>
        <v>1.3724137931033282</v>
      </c>
      <c r="Q38" s="16"/>
      <c r="R38" s="15" t="s">
        <v>3</v>
      </c>
      <c r="S38" s="12">
        <v>9</v>
      </c>
      <c r="T38" s="14">
        <v>172476.19047615002</v>
      </c>
      <c r="U38" s="12">
        <f t="shared" si="74"/>
        <v>-2</v>
      </c>
      <c r="V38" s="14">
        <f t="shared" si="75"/>
        <v>-89619.047619049961</v>
      </c>
      <c r="W38" s="13">
        <f t="shared" si="76"/>
        <v>-0.34193313953494237</v>
      </c>
      <c r="Y38" s="16"/>
      <c r="Z38" s="15" t="s">
        <v>3</v>
      </c>
      <c r="AA38" s="12">
        <v>11</v>
      </c>
      <c r="AB38" s="14">
        <v>223047.61904759001</v>
      </c>
      <c r="AC38" s="12">
        <f t="shared" si="77"/>
        <v>2</v>
      </c>
      <c r="AD38" s="14">
        <f t="shared" si="78"/>
        <v>50571.428571439988</v>
      </c>
      <c r="AE38" s="13">
        <f t="shared" si="79"/>
        <v>0.293208172280643</v>
      </c>
      <c r="AG38" s="16"/>
      <c r="AH38" s="15" t="s">
        <v>3</v>
      </c>
      <c r="AI38" s="12">
        <v>4</v>
      </c>
      <c r="AJ38" s="14">
        <v>79619.047619019999</v>
      </c>
      <c r="AK38" s="12">
        <f t="shared" si="80"/>
        <v>-7</v>
      </c>
      <c r="AL38" s="14">
        <f t="shared" si="81"/>
        <v>-143428.57142857002</v>
      </c>
      <c r="AM38" s="13">
        <f t="shared" si="82"/>
        <v>-0.6430401366354318</v>
      </c>
      <c r="AO38" s="16"/>
      <c r="AP38" s="15" t="s">
        <v>3</v>
      </c>
      <c r="AQ38" s="12">
        <v>7</v>
      </c>
      <c r="AR38" s="14">
        <v>131714.28571425</v>
      </c>
      <c r="AS38" s="12">
        <f t="shared" si="83"/>
        <v>3</v>
      </c>
      <c r="AT38" s="14">
        <f t="shared" si="84"/>
        <v>52095.238095230001</v>
      </c>
      <c r="AU38" s="13">
        <f t="shared" si="85"/>
        <v>0.65430622009581907</v>
      </c>
      <c r="AW38" s="16"/>
      <c r="AX38" s="15" t="s">
        <v>3</v>
      </c>
      <c r="AY38" s="12">
        <v>23</v>
      </c>
      <c r="AZ38" s="14">
        <v>341428.57142852002</v>
      </c>
      <c r="BA38" s="12">
        <f t="shared" si="86"/>
        <v>16</v>
      </c>
      <c r="BB38" s="14">
        <f t="shared" si="87"/>
        <v>209714.28571427002</v>
      </c>
      <c r="BC38" s="13">
        <f t="shared" si="88"/>
        <v>1.5921908893712453</v>
      </c>
      <c r="BE38" s="16"/>
      <c r="BF38" s="15" t="s">
        <v>3</v>
      </c>
      <c r="BG38" s="12">
        <v>12</v>
      </c>
      <c r="BH38" s="14">
        <v>224857.14285711001</v>
      </c>
      <c r="BI38" s="12">
        <f t="shared" si="89"/>
        <v>-11</v>
      </c>
      <c r="BJ38" s="14">
        <f t="shared" si="90"/>
        <v>-116571.42857141001</v>
      </c>
      <c r="BK38" s="13">
        <f t="shared" si="91"/>
        <v>-0.34142259414225645</v>
      </c>
      <c r="BL38" s="35"/>
      <c r="BM38" s="16"/>
      <c r="BN38" s="15" t="s">
        <v>3</v>
      </c>
      <c r="BO38" s="12">
        <v>8</v>
      </c>
      <c r="BP38" s="14">
        <v>147809.52380949</v>
      </c>
      <c r="BQ38" s="12">
        <f t="shared" si="92"/>
        <v>-4</v>
      </c>
      <c r="BR38" s="14">
        <f t="shared" si="93"/>
        <v>-77047.619047620014</v>
      </c>
      <c r="BS38" s="13">
        <f t="shared" si="94"/>
        <v>-0.34265141889035505</v>
      </c>
      <c r="BU38" s="16"/>
      <c r="BV38" s="15" t="s">
        <v>3</v>
      </c>
      <c r="BW38" s="12">
        <v>9</v>
      </c>
      <c r="BX38" s="14">
        <v>168666.66666662</v>
      </c>
      <c r="BY38" s="12">
        <f t="shared" si="95"/>
        <v>1</v>
      </c>
      <c r="BZ38" s="14">
        <f t="shared" si="96"/>
        <v>20857.142857130006</v>
      </c>
      <c r="CA38" s="13">
        <f t="shared" si="97"/>
        <v>0.14110824742262573</v>
      </c>
      <c r="CC38" s="16"/>
      <c r="CD38" s="15" t="s">
        <v>3</v>
      </c>
      <c r="CE38" s="12">
        <v>17</v>
      </c>
      <c r="CF38" s="14">
        <v>308857.1428571</v>
      </c>
      <c r="CG38" s="12">
        <f t="shared" si="98"/>
        <v>8</v>
      </c>
      <c r="CH38" s="14">
        <f t="shared" si="99"/>
        <v>140190.47619048</v>
      </c>
      <c r="CI38" s="13">
        <f t="shared" si="100"/>
        <v>0.83116883116908369</v>
      </c>
      <c r="CK38" s="16"/>
      <c r="CL38" s="15" t="s">
        <v>3</v>
      </c>
      <c r="CM38" s="12">
        <v>7</v>
      </c>
      <c r="CN38" s="14">
        <v>116952.38095235001</v>
      </c>
      <c r="CO38" s="12">
        <f t="shared" si="101"/>
        <v>-10</v>
      </c>
      <c r="CP38" s="14">
        <f t="shared" si="102"/>
        <v>-191904.76190474999</v>
      </c>
      <c r="CQ38" s="13">
        <f t="shared" si="103"/>
        <v>-0.62133826703674211</v>
      </c>
      <c r="CS38" s="16"/>
      <c r="CT38" s="15" t="s">
        <v>3</v>
      </c>
      <c r="CU38" s="12">
        <v>13</v>
      </c>
      <c r="CV38" s="14">
        <v>223999.99999996996</v>
      </c>
      <c r="CW38" s="12">
        <f t="shared" si="104"/>
        <v>6</v>
      </c>
      <c r="CX38" s="14">
        <f t="shared" si="105"/>
        <v>107047.61904761996</v>
      </c>
      <c r="CY38" s="13">
        <f t="shared" si="106"/>
        <v>0.91530944625432165</v>
      </c>
    </row>
    <row r="39" spans="1:103" s="12" customFormat="1" ht="20" customHeight="1">
      <c r="A39" s="16"/>
      <c r="B39" s="15" t="s">
        <v>2</v>
      </c>
      <c r="C39" s="12">
        <v>19</v>
      </c>
      <c r="D39" s="14">
        <v>671047.61904759996</v>
      </c>
      <c r="F39" s="14"/>
      <c r="G39" s="13"/>
      <c r="I39" s="16"/>
      <c r="J39" s="15" t="s">
        <v>2</v>
      </c>
      <c r="K39" s="12">
        <v>40</v>
      </c>
      <c r="L39" s="14">
        <v>1489523.8095237599</v>
      </c>
      <c r="M39" s="12">
        <f t="shared" si="71"/>
        <v>21</v>
      </c>
      <c r="N39" s="14">
        <f t="shared" si="72"/>
        <v>818476.19047615991</v>
      </c>
      <c r="O39" s="13">
        <f t="shared" si="73"/>
        <v>1.2196991200681129</v>
      </c>
      <c r="Q39" s="16"/>
      <c r="R39" s="15" t="s">
        <v>2</v>
      </c>
      <c r="S39" s="12">
        <v>47</v>
      </c>
      <c r="T39" s="14">
        <v>1886476.19047612</v>
      </c>
      <c r="U39" s="12">
        <f t="shared" si="74"/>
        <v>7</v>
      </c>
      <c r="V39" s="14">
        <f t="shared" si="75"/>
        <v>396952.38095236011</v>
      </c>
      <c r="W39" s="13">
        <f t="shared" si="76"/>
        <v>0.26649616368285933</v>
      </c>
      <c r="Y39" s="16"/>
      <c r="Z39" s="15" t="s">
        <v>2</v>
      </c>
      <c r="AA39" s="12">
        <v>54</v>
      </c>
      <c r="AB39" s="14">
        <v>2111439.9999999302</v>
      </c>
      <c r="AC39" s="12">
        <f t="shared" si="77"/>
        <v>7</v>
      </c>
      <c r="AD39" s="14">
        <f t="shared" si="78"/>
        <v>224963.80952381017</v>
      </c>
      <c r="AE39" s="13">
        <f t="shared" si="79"/>
        <v>0.11925080775444745</v>
      </c>
      <c r="AG39" s="16"/>
      <c r="AH39" s="15" t="s">
        <v>2</v>
      </c>
      <c r="AI39" s="12">
        <v>36</v>
      </c>
      <c r="AJ39" s="14">
        <v>1396571.4285713802</v>
      </c>
      <c r="AK39" s="12">
        <f t="shared" si="80"/>
        <v>-18</v>
      </c>
      <c r="AL39" s="14">
        <f t="shared" si="81"/>
        <v>-714868.57142854994</v>
      </c>
      <c r="AM39" s="13">
        <f t="shared" si="82"/>
        <v>-0.33856920936828588</v>
      </c>
      <c r="AO39" s="16"/>
      <c r="AP39" s="15" t="s">
        <v>2</v>
      </c>
      <c r="AQ39" s="12">
        <v>35</v>
      </c>
      <c r="AR39" s="14">
        <v>1364761.9047618699</v>
      </c>
      <c r="AS39" s="12">
        <f t="shared" si="83"/>
        <v>-1</v>
      </c>
      <c r="AT39" s="14">
        <f t="shared" si="84"/>
        <v>-31809.523809510283</v>
      </c>
      <c r="AU39" s="13">
        <f t="shared" si="85"/>
        <v>-2.2776868521540476E-2</v>
      </c>
      <c r="AW39" s="16"/>
      <c r="AX39" s="15" t="s">
        <v>2</v>
      </c>
      <c r="AY39" s="12">
        <v>47</v>
      </c>
      <c r="AZ39" s="14">
        <v>1845523.8095237601</v>
      </c>
      <c r="BA39" s="12">
        <f t="shared" si="86"/>
        <v>12</v>
      </c>
      <c r="BB39" s="14">
        <f t="shared" si="87"/>
        <v>480761.90476189018</v>
      </c>
      <c r="BC39" s="13">
        <f t="shared" si="88"/>
        <v>0.35226796929518323</v>
      </c>
      <c r="BE39" s="16"/>
      <c r="BF39" s="15" t="s">
        <v>2</v>
      </c>
      <c r="BG39" s="12">
        <v>27</v>
      </c>
      <c r="BH39" s="14">
        <v>1010285.7142856601</v>
      </c>
      <c r="BI39" s="12">
        <f t="shared" si="89"/>
        <v>-20</v>
      </c>
      <c r="BJ39" s="14">
        <f t="shared" si="90"/>
        <v>-835238.09523810004</v>
      </c>
      <c r="BK39" s="13">
        <f t="shared" si="91"/>
        <v>-0.45257508514812084</v>
      </c>
      <c r="BL39" s="35"/>
      <c r="BM39" s="16"/>
      <c r="BN39" s="15" t="s">
        <v>2</v>
      </c>
      <c r="BO39" s="12">
        <v>20</v>
      </c>
      <c r="BP39" s="14">
        <v>765714.28571425006</v>
      </c>
      <c r="BQ39" s="12">
        <f t="shared" si="92"/>
        <v>-7</v>
      </c>
      <c r="BR39" s="14">
        <f t="shared" si="93"/>
        <v>-244571.42857141001</v>
      </c>
      <c r="BS39" s="13">
        <f t="shared" si="94"/>
        <v>-0.24208144796379552</v>
      </c>
      <c r="BU39" s="16"/>
      <c r="BV39" s="15" t="s">
        <v>2</v>
      </c>
      <c r="BW39" s="12">
        <v>27</v>
      </c>
      <c r="BX39" s="14">
        <v>1036476.1904761301</v>
      </c>
      <c r="BY39" s="12">
        <f t="shared" si="95"/>
        <v>7</v>
      </c>
      <c r="BZ39" s="14">
        <f t="shared" si="96"/>
        <v>270761.90476188005</v>
      </c>
      <c r="CA39" s="13">
        <f t="shared" si="97"/>
        <v>0.35360696517411355</v>
      </c>
      <c r="CC39" s="16"/>
      <c r="CD39" s="15" t="s">
        <v>2</v>
      </c>
      <c r="CE39" s="12">
        <v>25</v>
      </c>
      <c r="CF39" s="14">
        <v>971428.57142851991</v>
      </c>
      <c r="CG39" s="12">
        <f t="shared" si="98"/>
        <v>-2</v>
      </c>
      <c r="CH39" s="14">
        <f t="shared" si="99"/>
        <v>-65047.619047610206</v>
      </c>
      <c r="CI39" s="13">
        <f t="shared" si="100"/>
        <v>-6.2758430579798491E-2</v>
      </c>
      <c r="CK39" s="16"/>
      <c r="CL39" s="15" t="s">
        <v>2</v>
      </c>
      <c r="CM39" s="12">
        <v>21</v>
      </c>
      <c r="CN39" s="14">
        <v>760857.1428570901</v>
      </c>
      <c r="CO39" s="12">
        <f t="shared" si="101"/>
        <v>-4</v>
      </c>
      <c r="CP39" s="14">
        <f t="shared" si="102"/>
        <v>-210571.4285714298</v>
      </c>
      <c r="CQ39" s="13">
        <f t="shared" si="103"/>
        <v>-0.21676470588236571</v>
      </c>
      <c r="CS39" s="16"/>
      <c r="CT39" s="15" t="s">
        <v>2</v>
      </c>
      <c r="CU39" s="12">
        <v>10</v>
      </c>
      <c r="CV39" s="14">
        <v>358095.23809519998</v>
      </c>
      <c r="CW39" s="12">
        <f t="shared" si="104"/>
        <v>-11</v>
      </c>
      <c r="CX39" s="14">
        <f t="shared" si="105"/>
        <v>-402761.90476189012</v>
      </c>
      <c r="CY39" s="13">
        <f t="shared" si="106"/>
        <v>-0.52935286018276873</v>
      </c>
    </row>
    <row r="40" spans="1:103" s="1" customFormat="1" ht="20" customHeight="1">
      <c r="A40" s="11" t="s">
        <v>12</v>
      </c>
      <c r="B40" s="11"/>
      <c r="C40" s="10">
        <v>275</v>
      </c>
      <c r="D40" s="9">
        <v>1765975.7142850198</v>
      </c>
      <c r="E40" s="29"/>
      <c r="F40" s="30"/>
      <c r="G40" s="31"/>
      <c r="I40" s="11" t="s">
        <v>12</v>
      </c>
      <c r="J40" s="11"/>
      <c r="K40" s="10">
        <v>340</v>
      </c>
      <c r="L40" s="9">
        <v>2448800.95238009</v>
      </c>
      <c r="M40" s="10">
        <f t="shared" si="71"/>
        <v>65</v>
      </c>
      <c r="N40" s="9">
        <f t="shared" si="72"/>
        <v>682825.23809507024</v>
      </c>
      <c r="O40" s="8">
        <f t="shared" si="73"/>
        <v>0.38665607492316034</v>
      </c>
      <c r="Q40" s="11" t="s">
        <v>12</v>
      </c>
      <c r="R40" s="11"/>
      <c r="S40" s="10">
        <v>284</v>
      </c>
      <c r="T40" s="9">
        <v>2590553.3333325498</v>
      </c>
      <c r="U40" s="10">
        <f t="shared" si="74"/>
        <v>-56</v>
      </c>
      <c r="V40" s="9">
        <f t="shared" si="75"/>
        <v>141752.38095245976</v>
      </c>
      <c r="W40" s="8">
        <f t="shared" si="76"/>
        <v>5.7886444716825518E-2</v>
      </c>
      <c r="Y40" s="11" t="s">
        <v>12</v>
      </c>
      <c r="Z40" s="11"/>
      <c r="AA40" s="10">
        <v>290</v>
      </c>
      <c r="AB40" s="9">
        <v>3048106.1904754303</v>
      </c>
      <c r="AC40" s="10">
        <f t="shared" si="77"/>
        <v>6</v>
      </c>
      <c r="AD40" s="9">
        <f t="shared" si="78"/>
        <v>457552.85714288056</v>
      </c>
      <c r="AE40" s="8">
        <f t="shared" si="79"/>
        <v>0.17662360054725204</v>
      </c>
      <c r="AG40" s="11" t="s">
        <v>12</v>
      </c>
      <c r="AH40" s="11"/>
      <c r="AI40" s="10">
        <v>266</v>
      </c>
      <c r="AJ40" s="9">
        <v>2178333.8095230702</v>
      </c>
      <c r="AK40" s="10">
        <f t="shared" si="80"/>
        <v>-24</v>
      </c>
      <c r="AL40" s="9">
        <f t="shared" si="81"/>
        <v>-869772.38095236011</v>
      </c>
      <c r="AM40" s="8">
        <f t="shared" si="82"/>
        <v>-0.28534845133354647</v>
      </c>
      <c r="AO40" s="11" t="s">
        <v>12</v>
      </c>
      <c r="AP40" s="11"/>
      <c r="AQ40" s="10">
        <v>270</v>
      </c>
      <c r="AR40" s="9">
        <v>2220041.9047612399</v>
      </c>
      <c r="AS40" s="10">
        <f t="shared" si="83"/>
        <v>4</v>
      </c>
      <c r="AT40" s="9">
        <f t="shared" si="84"/>
        <v>41708.095238169655</v>
      </c>
      <c r="AU40" s="8">
        <f t="shared" si="85"/>
        <v>1.9146787813618577E-2</v>
      </c>
      <c r="AW40" s="11" t="s">
        <v>12</v>
      </c>
      <c r="AX40" s="11"/>
      <c r="AY40" s="10">
        <v>303</v>
      </c>
      <c r="AZ40" s="9">
        <v>2816396.1904755002</v>
      </c>
      <c r="BA40" s="10">
        <f t="shared" si="86"/>
        <v>33</v>
      </c>
      <c r="BB40" s="9">
        <f t="shared" si="87"/>
        <v>596354.2857142603</v>
      </c>
      <c r="BC40" s="8">
        <f t="shared" si="88"/>
        <v>0.26862298609556956</v>
      </c>
      <c r="BE40" s="11" t="s">
        <v>12</v>
      </c>
      <c r="BF40" s="11"/>
      <c r="BG40" s="10">
        <v>252</v>
      </c>
      <c r="BH40" s="9">
        <v>1830841.9047613002</v>
      </c>
      <c r="BI40" s="10">
        <f t="shared" si="89"/>
        <v>-51</v>
      </c>
      <c r="BJ40" s="9">
        <f t="shared" si="90"/>
        <v>-985554.2857142</v>
      </c>
      <c r="BK40" s="8">
        <f t="shared" si="91"/>
        <v>-0.34993453302030142</v>
      </c>
      <c r="BL40" s="37"/>
      <c r="BM40" s="11" t="s">
        <v>12</v>
      </c>
      <c r="BN40" s="11"/>
      <c r="BO40" s="10">
        <v>221</v>
      </c>
      <c r="BP40" s="9">
        <v>1444999.5238088802</v>
      </c>
      <c r="BQ40" s="10">
        <f t="shared" si="92"/>
        <v>-31</v>
      </c>
      <c r="BR40" s="9">
        <f t="shared" si="93"/>
        <v>-385842.38095241995</v>
      </c>
      <c r="BS40" s="8">
        <f t="shared" si="94"/>
        <v>-0.21074587595411465</v>
      </c>
      <c r="BU40" s="11" t="s">
        <v>12</v>
      </c>
      <c r="BV40" s="11"/>
      <c r="BW40" s="10">
        <v>254</v>
      </c>
      <c r="BX40" s="9">
        <v>1701045.7142849502</v>
      </c>
      <c r="BY40" s="10">
        <f t="shared" si="95"/>
        <v>33</v>
      </c>
      <c r="BZ40" s="9">
        <f t="shared" si="96"/>
        <v>256046.19047606993</v>
      </c>
      <c r="CA40" s="8">
        <f t="shared" si="97"/>
        <v>0.17719465387860939</v>
      </c>
      <c r="CC40" s="11" t="s">
        <v>12</v>
      </c>
      <c r="CD40" s="11"/>
      <c r="CE40" s="10">
        <v>234</v>
      </c>
      <c r="CF40" s="9">
        <v>1957370.95238044</v>
      </c>
      <c r="CG40" s="10">
        <f t="shared" si="98"/>
        <v>-20</v>
      </c>
      <c r="CH40" s="9">
        <f t="shared" si="99"/>
        <v>256325.2380954898</v>
      </c>
      <c r="CI40" s="8">
        <f t="shared" si="100"/>
        <v>0.15068686040765131</v>
      </c>
      <c r="CK40" s="11" t="s">
        <v>12</v>
      </c>
      <c r="CL40" s="11"/>
      <c r="CM40" s="10">
        <v>270</v>
      </c>
      <c r="CN40" s="9">
        <v>1620465.2380945901</v>
      </c>
      <c r="CO40" s="10">
        <f t="shared" si="101"/>
        <v>36</v>
      </c>
      <c r="CP40" s="9">
        <f t="shared" si="102"/>
        <v>-336905.71428584983</v>
      </c>
      <c r="CQ40" s="8">
        <f t="shared" si="103"/>
        <v>-0.17212154593186582</v>
      </c>
      <c r="CS40" s="11" t="s">
        <v>12</v>
      </c>
      <c r="CT40" s="11"/>
      <c r="CU40" s="10">
        <v>236</v>
      </c>
      <c r="CV40" s="9">
        <v>1224683.3333326899</v>
      </c>
      <c r="CW40" s="10">
        <f t="shared" si="104"/>
        <v>-34</v>
      </c>
      <c r="CX40" s="9">
        <f t="shared" si="105"/>
        <v>-395781.90476190019</v>
      </c>
      <c r="CY40" s="8">
        <f t="shared" si="106"/>
        <v>-0.24423967602494015</v>
      </c>
    </row>
    <row r="41" spans="1:103" s="1" customFormat="1" ht="20" customHeight="1">
      <c r="A41" s="42">
        <v>81</v>
      </c>
      <c r="B41" s="34" t="s">
        <v>20</v>
      </c>
      <c r="C41" s="1">
        <v>3586</v>
      </c>
      <c r="D41" s="41"/>
      <c r="E41" s="12"/>
      <c r="F41" s="14"/>
      <c r="G41" s="35"/>
      <c r="I41" s="42">
        <v>81</v>
      </c>
      <c r="J41" s="34" t="s">
        <v>20</v>
      </c>
      <c r="K41" s="1">
        <v>2987</v>
      </c>
      <c r="L41" s="41"/>
      <c r="N41" s="41"/>
      <c r="O41" s="37"/>
      <c r="Q41" s="42">
        <v>81</v>
      </c>
      <c r="R41" s="34" t="s">
        <v>20</v>
      </c>
      <c r="S41" s="1">
        <v>2138</v>
      </c>
      <c r="T41" s="41"/>
      <c r="V41" s="41"/>
      <c r="W41" s="37"/>
      <c r="Y41" s="42">
        <v>81</v>
      </c>
      <c r="Z41" s="34" t="s">
        <v>20</v>
      </c>
      <c r="AA41" s="1">
        <v>1952</v>
      </c>
      <c r="AB41" s="41"/>
      <c r="AD41" s="41"/>
      <c r="AE41" s="37"/>
      <c r="AG41" s="42">
        <v>81</v>
      </c>
      <c r="AH41" s="34" t="s">
        <v>20</v>
      </c>
      <c r="AI41" s="1">
        <v>1683</v>
      </c>
      <c r="AJ41" s="41"/>
      <c r="AL41" s="41"/>
      <c r="AM41" s="37"/>
      <c r="AO41" s="42">
        <v>81</v>
      </c>
      <c r="AP41" s="34" t="s">
        <v>20</v>
      </c>
      <c r="AQ41" s="1">
        <v>1863</v>
      </c>
      <c r="AR41" s="41"/>
      <c r="AT41" s="41"/>
      <c r="AU41" s="37"/>
      <c r="AW41" s="42">
        <v>81</v>
      </c>
      <c r="AX41" s="34" t="s">
        <v>20</v>
      </c>
      <c r="AY41" s="1">
        <v>1825</v>
      </c>
      <c r="AZ41" s="41"/>
      <c r="BB41" s="41"/>
      <c r="BC41" s="37"/>
      <c r="BE41" s="42">
        <v>81</v>
      </c>
      <c r="BF41" s="34" t="s">
        <v>20</v>
      </c>
      <c r="BG41" s="1">
        <v>1631</v>
      </c>
      <c r="BH41" s="41"/>
      <c r="BJ41" s="41"/>
      <c r="BK41" s="37"/>
      <c r="BL41" s="37"/>
      <c r="BM41" s="42">
        <v>81</v>
      </c>
      <c r="BN41" s="34" t="s">
        <v>20</v>
      </c>
      <c r="BO41" s="1">
        <v>1934</v>
      </c>
      <c r="BP41" s="41"/>
      <c r="BR41" s="41"/>
      <c r="BS41" s="37"/>
      <c r="BU41" s="42">
        <v>81</v>
      </c>
      <c r="BV41" s="34" t="s">
        <v>20</v>
      </c>
      <c r="BW41" s="41">
        <v>1934</v>
      </c>
      <c r="BX41" s="41"/>
      <c r="BZ41" s="41"/>
      <c r="CA41" s="37"/>
      <c r="CC41" s="42">
        <v>81</v>
      </c>
      <c r="CD41" s="34" t="s">
        <v>20</v>
      </c>
      <c r="CE41" s="41">
        <v>1818</v>
      </c>
      <c r="CF41" s="41"/>
      <c r="CH41" s="41"/>
      <c r="CI41" s="37"/>
      <c r="CK41" s="42">
        <v>81</v>
      </c>
      <c r="CL41" s="34" t="s">
        <v>20</v>
      </c>
      <c r="CM41" s="41">
        <v>1607</v>
      </c>
      <c r="CN41" s="41"/>
      <c r="CP41" s="41"/>
      <c r="CQ41" s="37"/>
      <c r="CS41" s="42">
        <v>81</v>
      </c>
      <c r="CT41" s="34" t="s">
        <v>20</v>
      </c>
      <c r="CU41" s="41">
        <v>1504</v>
      </c>
      <c r="CV41" s="41"/>
      <c r="CX41" s="41"/>
      <c r="CY41" s="37"/>
    </row>
    <row r="42" spans="1:103" s="1" customFormat="1" ht="20" customHeight="1">
      <c r="A42" s="42"/>
      <c r="B42" s="34" t="s">
        <v>21</v>
      </c>
      <c r="C42" s="1">
        <v>12</v>
      </c>
      <c r="D42" s="41"/>
      <c r="E42" s="12"/>
      <c r="F42" s="14"/>
      <c r="G42" s="35"/>
      <c r="I42" s="42"/>
      <c r="J42" s="34" t="s">
        <v>21</v>
      </c>
      <c r="K42" s="1">
        <v>20</v>
      </c>
      <c r="L42" s="41"/>
      <c r="N42" s="41"/>
      <c r="O42" s="37"/>
      <c r="Q42" s="42"/>
      <c r="R42" s="34" t="s">
        <v>21</v>
      </c>
      <c r="S42" s="1">
        <v>8</v>
      </c>
      <c r="T42" s="41"/>
      <c r="V42" s="41"/>
      <c r="W42" s="37"/>
      <c r="Y42" s="42"/>
      <c r="Z42" s="34" t="s">
        <v>21</v>
      </c>
      <c r="AA42" s="1">
        <v>12</v>
      </c>
      <c r="AB42" s="41"/>
      <c r="AD42" s="41"/>
      <c r="AE42" s="37"/>
      <c r="AG42" s="42"/>
      <c r="AH42" s="34" t="s">
        <v>21</v>
      </c>
      <c r="AI42" s="1">
        <v>8</v>
      </c>
      <c r="AJ42" s="41"/>
      <c r="AL42" s="41"/>
      <c r="AM42" s="37"/>
      <c r="AO42" s="42"/>
      <c r="AP42" s="34" t="s">
        <v>21</v>
      </c>
      <c r="AQ42" s="1">
        <v>13</v>
      </c>
      <c r="AR42" s="41"/>
      <c r="AT42" s="41"/>
      <c r="AU42" s="37"/>
      <c r="AW42" s="42"/>
      <c r="AX42" s="34" t="s">
        <v>21</v>
      </c>
      <c r="AY42" s="1">
        <v>6</v>
      </c>
      <c r="AZ42" s="41"/>
      <c r="BB42" s="41"/>
      <c r="BC42" s="37"/>
      <c r="BE42" s="42"/>
      <c r="BF42" s="34" t="s">
        <v>21</v>
      </c>
      <c r="BG42" s="1">
        <v>6</v>
      </c>
      <c r="BH42" s="41"/>
      <c r="BJ42" s="41"/>
      <c r="BK42" s="37"/>
      <c r="BL42" s="37"/>
      <c r="BM42" s="42"/>
      <c r="BN42" s="34" t="s">
        <v>21</v>
      </c>
      <c r="BO42" s="1">
        <v>8</v>
      </c>
      <c r="BP42" s="41"/>
      <c r="BR42" s="41"/>
      <c r="BS42" s="37"/>
      <c r="BU42" s="42"/>
      <c r="BV42" s="34" t="s">
        <v>21</v>
      </c>
      <c r="BW42" s="41">
        <v>5</v>
      </c>
      <c r="BX42" s="41"/>
      <c r="BZ42" s="41"/>
      <c r="CA42" s="37"/>
      <c r="CC42" s="42"/>
      <c r="CD42" s="34" t="s">
        <v>21</v>
      </c>
      <c r="CE42" s="41">
        <v>10</v>
      </c>
      <c r="CF42" s="41"/>
      <c r="CH42" s="41"/>
      <c r="CI42" s="37"/>
      <c r="CK42" s="42"/>
      <c r="CL42" s="34" t="s">
        <v>21</v>
      </c>
      <c r="CM42" s="41">
        <v>4</v>
      </c>
      <c r="CN42" s="41"/>
      <c r="CP42" s="41"/>
      <c r="CQ42" s="37"/>
      <c r="CS42" s="42"/>
      <c r="CT42" s="34" t="s">
        <v>21</v>
      </c>
      <c r="CU42" s="41">
        <v>2</v>
      </c>
      <c r="CV42" s="41"/>
      <c r="CX42" s="41"/>
      <c r="CY42" s="37"/>
    </row>
    <row r="43" spans="1:103" s="12" customFormat="1" ht="20" customHeight="1">
      <c r="A43" s="42"/>
      <c r="B43" s="15" t="s">
        <v>10</v>
      </c>
      <c r="C43" s="12">
        <v>123</v>
      </c>
      <c r="D43" s="14">
        <v>124625.71428524994</v>
      </c>
      <c r="F43" s="14"/>
      <c r="G43" s="13"/>
      <c r="I43" s="42"/>
      <c r="J43" s="15" t="s">
        <v>10</v>
      </c>
      <c r="K43" s="12">
        <v>172</v>
      </c>
      <c r="L43" s="14">
        <v>171774.28571375</v>
      </c>
      <c r="M43" s="12">
        <f t="shared" ref="M43:M52" si="107">K43-C43</f>
        <v>49</v>
      </c>
      <c r="N43" s="14">
        <f t="shared" ref="N43:N52" si="108">L43-D43</f>
        <v>47148.571428500058</v>
      </c>
      <c r="O43" s="13">
        <f t="shared" ref="O43:O52" si="109">(L43-D43)/D43</f>
        <v>0.378321373714127</v>
      </c>
      <c r="Q43" s="42"/>
      <c r="R43" s="15" t="s">
        <v>10</v>
      </c>
      <c r="S43" s="12">
        <v>115</v>
      </c>
      <c r="T43" s="14">
        <v>112812.38095195002</v>
      </c>
      <c r="U43" s="12">
        <f t="shared" ref="U43:U52" si="110">S43-K43</f>
        <v>-57</v>
      </c>
      <c r="V43" s="14">
        <f t="shared" ref="V43:V52" si="111">T43-L43</f>
        <v>-58961.904761799975</v>
      </c>
      <c r="W43" s="13">
        <f t="shared" ref="W43:W52" si="112">(T43-L43)/L43</f>
        <v>-0.34325221913631432</v>
      </c>
      <c r="Y43" s="42"/>
      <c r="Z43" s="15" t="s">
        <v>10</v>
      </c>
      <c r="AA43" s="12">
        <v>131</v>
      </c>
      <c r="AB43" s="14">
        <v>127438.09523763001</v>
      </c>
      <c r="AC43" s="12">
        <f t="shared" ref="AC43:AC52" si="113">AA43-S43</f>
        <v>16</v>
      </c>
      <c r="AD43" s="14">
        <f t="shared" ref="AD43:AD52" si="114">AB43-T43</f>
        <v>14625.714285679991</v>
      </c>
      <c r="AE43" s="13">
        <f t="shared" ref="AE43:AE52" si="115">(AB43-T43)/T43</f>
        <v>0.12964635762726695</v>
      </c>
      <c r="AG43" s="42"/>
      <c r="AH43" s="15" t="s">
        <v>10</v>
      </c>
      <c r="AI43" s="12">
        <v>100</v>
      </c>
      <c r="AJ43" s="14">
        <v>102796.19047577001</v>
      </c>
      <c r="AK43" s="12">
        <f t="shared" ref="AK43:AK52" si="116">AI43-AA43</f>
        <v>-31</v>
      </c>
      <c r="AL43" s="14">
        <f t="shared" ref="AL43:AL52" si="117">AJ43-AB43</f>
        <v>-24641.904761860002</v>
      </c>
      <c r="AM43" s="13">
        <f t="shared" ref="AM43:AM52" si="118">(AJ43-AB43)/AB43</f>
        <v>-0.19336372468460847</v>
      </c>
      <c r="AO43" s="42"/>
      <c r="AP43" s="15" t="s">
        <v>10</v>
      </c>
      <c r="AQ43" s="12">
        <v>105</v>
      </c>
      <c r="AR43" s="14">
        <v>95087.619047280008</v>
      </c>
      <c r="AS43" s="12">
        <f t="shared" ref="AS43:AS52" si="119">AQ43-AI43</f>
        <v>5</v>
      </c>
      <c r="AT43" s="14">
        <f t="shared" ref="AT43:AT52" si="120">AR43-AJ43</f>
        <v>-7708.5714284900023</v>
      </c>
      <c r="AU43" s="13">
        <f t="shared" ref="AU43:AU52" si="121">(AR43-AJ43)/AJ43</f>
        <v>-7.49888823001372E-2</v>
      </c>
      <c r="AW43" s="42"/>
      <c r="AX43" s="15" t="s">
        <v>10</v>
      </c>
      <c r="AY43" s="12">
        <v>116</v>
      </c>
      <c r="AZ43" s="14">
        <v>116498.09523769001</v>
      </c>
      <c r="BA43" s="12">
        <f t="shared" ref="BA43:BA52" si="122">AY43-AQ43</f>
        <v>11</v>
      </c>
      <c r="BB43" s="14">
        <f t="shared" ref="BB43:BB52" si="123">AZ43-AR43</f>
        <v>21410.476190410001</v>
      </c>
      <c r="BC43" s="13">
        <f t="shared" ref="BC43:BC52" si="124">(AZ43-AR43)/AR43</f>
        <v>0.22516576190391477</v>
      </c>
      <c r="BE43" s="42"/>
      <c r="BF43" s="15" t="s">
        <v>10</v>
      </c>
      <c r="BG43" s="12">
        <v>88</v>
      </c>
      <c r="BH43" s="14">
        <v>87981.904761580023</v>
      </c>
      <c r="BI43" s="12">
        <f t="shared" ref="BI43:BI52" si="125">BG43-AY43</f>
        <v>-28</v>
      </c>
      <c r="BJ43" s="14">
        <f t="shared" ref="BJ43:BJ52" si="126">BH43-AZ43</f>
        <v>-28516.190476109987</v>
      </c>
      <c r="BK43" s="13">
        <f t="shared" ref="BK43:BK52" si="127">(BH43-AZ43)/AZ43</f>
        <v>-0.24477816927331439</v>
      </c>
      <c r="BL43" s="35"/>
      <c r="BM43" s="42"/>
      <c r="BN43" s="15" t="s">
        <v>10</v>
      </c>
      <c r="BO43" s="12">
        <v>99</v>
      </c>
      <c r="BP43" s="14">
        <v>101878.09523774001</v>
      </c>
      <c r="BQ43" s="12">
        <f t="shared" ref="BQ43:BQ52" si="128">BO43-BG43</f>
        <v>11</v>
      </c>
      <c r="BR43" s="14">
        <f t="shared" ref="BR43:BR52" si="129">BP43-BH43</f>
        <v>13896.190476159987</v>
      </c>
      <c r="BS43" s="13">
        <f t="shared" ref="BS43:BS52" si="130">(BP43-BH43)/BH43</f>
        <v>0.15794373301893075</v>
      </c>
      <c r="BU43" s="42"/>
      <c r="BV43" s="15" t="s">
        <v>10</v>
      </c>
      <c r="BW43" s="12">
        <v>103</v>
      </c>
      <c r="BX43" s="14">
        <v>98487.61904729002</v>
      </c>
      <c r="BY43" s="12">
        <f t="shared" ref="BY43:BY52" si="131">BW43-BO43</f>
        <v>4</v>
      </c>
      <c r="BZ43" s="14">
        <f t="shared" ref="BZ43:BZ52" si="132">BX43-BP43</f>
        <v>-3390.4761904499901</v>
      </c>
      <c r="CA43" s="13">
        <f t="shared" ref="CA43:CA52" si="133">(BX43-BP43)/BP43</f>
        <v>-3.3279736753401852E-2</v>
      </c>
      <c r="CC43" s="42"/>
      <c r="CD43" s="15" t="s">
        <v>10</v>
      </c>
      <c r="CE43" s="12">
        <v>95</v>
      </c>
      <c r="CF43" s="14">
        <v>96488.571428220006</v>
      </c>
      <c r="CG43" s="12">
        <f t="shared" ref="CG43:CG54" si="134">CE43-BW43</f>
        <v>-8</v>
      </c>
      <c r="CH43" s="14">
        <f t="shared" ref="CH43:CH52" si="135">CF43-BX43</f>
        <v>-1999.0476190700138</v>
      </c>
      <c r="CI43" s="13">
        <f t="shared" ref="CI43:CI52" si="136">(CF43-BX43)/BX43</f>
        <v>-2.0297450973102992E-2</v>
      </c>
      <c r="CK43" s="42"/>
      <c r="CL43" s="15" t="s">
        <v>10</v>
      </c>
      <c r="CM43" s="12">
        <v>93</v>
      </c>
      <c r="CN43" s="14">
        <v>95327.619047250031</v>
      </c>
      <c r="CO43" s="12">
        <f t="shared" ref="CO43:CO54" si="137">CM43-CE43</f>
        <v>-2</v>
      </c>
      <c r="CP43" s="14">
        <f t="shared" ref="CP43:CP52" si="138">CN43-CF43</f>
        <v>-1160.9523809699749</v>
      </c>
      <c r="CQ43" s="13">
        <f t="shared" ref="CQ43:CQ52" si="139">(CN43-CF43)/CF43</f>
        <v>-1.2032019583102991E-2</v>
      </c>
      <c r="CS43" s="42"/>
      <c r="CT43" s="15" t="s">
        <v>10</v>
      </c>
      <c r="CU43" s="12">
        <v>58</v>
      </c>
      <c r="CV43" s="14">
        <v>61946.666666470031</v>
      </c>
      <c r="CW43" s="12">
        <f t="shared" ref="CW43:CW54" si="140">CU43-CM43</f>
        <v>-35</v>
      </c>
      <c r="CX43" s="14">
        <f t="shared" ref="CX43:CX52" si="141">CV43-CN43</f>
        <v>-33380.95238078</v>
      </c>
      <c r="CY43" s="13">
        <f t="shared" ref="CY43:CY52" si="142">(CV43-CN43)/CN43</f>
        <v>-0.35017083941050092</v>
      </c>
    </row>
    <row r="44" spans="1:103" s="12" customFormat="1" ht="20" customHeight="1">
      <c r="A44" s="42"/>
      <c r="B44" s="15" t="s">
        <v>9</v>
      </c>
      <c r="C44" s="12">
        <v>115</v>
      </c>
      <c r="D44" s="14">
        <v>103800.95238081002</v>
      </c>
      <c r="F44" s="14"/>
      <c r="G44" s="13"/>
      <c r="I44" s="42"/>
      <c r="J44" s="15" t="s">
        <v>9</v>
      </c>
      <c r="K44" s="12">
        <v>136</v>
      </c>
      <c r="L44" s="14">
        <v>132086.66666652999</v>
      </c>
      <c r="M44" s="12">
        <f t="shared" si="107"/>
        <v>21</v>
      </c>
      <c r="N44" s="14">
        <f t="shared" si="108"/>
        <v>28285.714285719965</v>
      </c>
      <c r="O44" s="13">
        <f t="shared" si="109"/>
        <v>0.27249956418462712</v>
      </c>
      <c r="Q44" s="42"/>
      <c r="R44" s="15" t="s">
        <v>9</v>
      </c>
      <c r="S44" s="12">
        <v>105</v>
      </c>
      <c r="T44" s="14">
        <v>103905.7142856</v>
      </c>
      <c r="U44" s="12">
        <f t="shared" si="110"/>
        <v>-31</v>
      </c>
      <c r="V44" s="14">
        <f t="shared" si="111"/>
        <v>-28180.952380929986</v>
      </c>
      <c r="W44" s="13">
        <f t="shared" si="112"/>
        <v>-0.21335198390672144</v>
      </c>
      <c r="Y44" s="42"/>
      <c r="Z44" s="15" t="s">
        <v>9</v>
      </c>
      <c r="AA44" s="12">
        <v>92</v>
      </c>
      <c r="AB44" s="14">
        <v>92698.095237970003</v>
      </c>
      <c r="AC44" s="12">
        <f t="shared" si="113"/>
        <v>-13</v>
      </c>
      <c r="AD44" s="14">
        <f t="shared" si="114"/>
        <v>-11207.619047629996</v>
      </c>
      <c r="AE44" s="13">
        <f t="shared" si="115"/>
        <v>-0.10786335597312985</v>
      </c>
      <c r="AG44" s="42"/>
      <c r="AH44" s="15" t="s">
        <v>9</v>
      </c>
      <c r="AI44" s="12">
        <v>91</v>
      </c>
      <c r="AJ44" s="14">
        <v>88161.904761810001</v>
      </c>
      <c r="AK44" s="12">
        <f t="shared" si="116"/>
        <v>-1</v>
      </c>
      <c r="AL44" s="14">
        <f t="shared" si="117"/>
        <v>-4536.1904761600017</v>
      </c>
      <c r="AM44" s="13">
        <f t="shared" si="118"/>
        <v>-4.8935099092542476E-2</v>
      </c>
      <c r="AO44" s="42"/>
      <c r="AP44" s="15" t="s">
        <v>9</v>
      </c>
      <c r="AQ44" s="12">
        <v>110</v>
      </c>
      <c r="AR44" s="14">
        <v>93838.095237970003</v>
      </c>
      <c r="AS44" s="12">
        <f t="shared" si="119"/>
        <v>19</v>
      </c>
      <c r="AT44" s="14">
        <f t="shared" si="120"/>
        <v>5676.1904761600017</v>
      </c>
      <c r="AU44" s="13">
        <f t="shared" si="121"/>
        <v>6.4383709624872068E-2</v>
      </c>
      <c r="AW44" s="42"/>
      <c r="AX44" s="15" t="s">
        <v>9</v>
      </c>
      <c r="AY44" s="12">
        <v>88</v>
      </c>
      <c r="AZ44" s="14">
        <v>123107.61904753</v>
      </c>
      <c r="BA44" s="12">
        <f t="shared" si="122"/>
        <v>-22</v>
      </c>
      <c r="BB44" s="14">
        <f t="shared" si="123"/>
        <v>29269.523809559993</v>
      </c>
      <c r="BC44" s="13">
        <f t="shared" si="124"/>
        <v>0.31191515274615861</v>
      </c>
      <c r="BE44" s="42"/>
      <c r="BF44" s="15" t="s">
        <v>9</v>
      </c>
      <c r="BG44" s="12">
        <v>114</v>
      </c>
      <c r="BH44" s="14">
        <v>115697.14285701</v>
      </c>
      <c r="BI44" s="12">
        <f t="shared" si="125"/>
        <v>26</v>
      </c>
      <c r="BJ44" s="14">
        <f t="shared" si="126"/>
        <v>-7410.4761905199994</v>
      </c>
      <c r="BK44" s="13">
        <f t="shared" si="127"/>
        <v>-6.0195106101913372E-2</v>
      </c>
      <c r="BL44" s="35"/>
      <c r="BM44" s="42"/>
      <c r="BN44" s="15" t="s">
        <v>9</v>
      </c>
      <c r="BO44" s="12">
        <v>71</v>
      </c>
      <c r="BP44" s="14">
        <v>79839.047618929995</v>
      </c>
      <c r="BQ44" s="12">
        <f t="shared" si="128"/>
        <v>-43</v>
      </c>
      <c r="BR44" s="14">
        <f t="shared" si="129"/>
        <v>-35858.095238080001</v>
      </c>
      <c r="BS44" s="13">
        <f t="shared" si="130"/>
        <v>-0.3099306893204527</v>
      </c>
      <c r="BU44" s="42"/>
      <c r="BV44" s="15" t="s">
        <v>9</v>
      </c>
      <c r="BW44" s="12">
        <v>74</v>
      </c>
      <c r="BX44" s="14">
        <v>75819.047618940007</v>
      </c>
      <c r="BY44" s="12">
        <f t="shared" si="131"/>
        <v>3</v>
      </c>
      <c r="BZ44" s="14">
        <f t="shared" si="132"/>
        <v>-4019.9999999899883</v>
      </c>
      <c r="CA44" s="13">
        <f t="shared" si="133"/>
        <v>-5.0351302024259595E-2</v>
      </c>
      <c r="CC44" s="42"/>
      <c r="CD44" s="15" t="s">
        <v>9</v>
      </c>
      <c r="CE44" s="12">
        <v>107</v>
      </c>
      <c r="CF44" s="14">
        <v>108333.33333320999</v>
      </c>
      <c r="CG44" s="12">
        <f t="shared" si="134"/>
        <v>33</v>
      </c>
      <c r="CH44" s="14">
        <f t="shared" si="135"/>
        <v>32514.28571426998</v>
      </c>
      <c r="CI44" s="13">
        <f t="shared" si="136"/>
        <v>0.42884059791523593</v>
      </c>
      <c r="CK44" s="42"/>
      <c r="CL44" s="15" t="s">
        <v>9</v>
      </c>
      <c r="CM44" s="12">
        <v>92</v>
      </c>
      <c r="CN44" s="14">
        <v>103133.33333323002</v>
      </c>
      <c r="CO44" s="12">
        <f t="shared" si="137"/>
        <v>-15</v>
      </c>
      <c r="CP44" s="14">
        <f t="shared" si="138"/>
        <v>-5199.999999979962</v>
      </c>
      <c r="CQ44" s="13">
        <f t="shared" si="139"/>
        <v>-4.7999999999869689E-2</v>
      </c>
      <c r="CS44" s="42"/>
      <c r="CT44" s="15" t="s">
        <v>9</v>
      </c>
      <c r="CU44" s="12">
        <v>69</v>
      </c>
      <c r="CV44" s="14">
        <v>78685.714285590002</v>
      </c>
      <c r="CW44" s="12">
        <f t="shared" si="140"/>
        <v>-23</v>
      </c>
      <c r="CX44" s="14">
        <f t="shared" si="141"/>
        <v>-24447.619047640022</v>
      </c>
      <c r="CY44" s="13">
        <f t="shared" si="142"/>
        <v>-0.23704866562053503</v>
      </c>
    </row>
    <row r="45" spans="1:103" s="12" customFormat="1" ht="20" customHeight="1">
      <c r="A45" s="16"/>
      <c r="B45" s="15" t="s">
        <v>8</v>
      </c>
      <c r="C45" s="12">
        <v>21</v>
      </c>
      <c r="D45" s="14">
        <v>107133.33333332</v>
      </c>
      <c r="F45" s="14"/>
      <c r="G45" s="13"/>
      <c r="I45" s="16"/>
      <c r="J45" s="15" t="s">
        <v>8</v>
      </c>
      <c r="K45" s="12">
        <v>11</v>
      </c>
      <c r="L45" s="14">
        <v>65609.523809509992</v>
      </c>
      <c r="M45" s="12">
        <f t="shared" si="107"/>
        <v>-10</v>
      </c>
      <c r="N45" s="14">
        <f t="shared" si="108"/>
        <v>-41523.809523810007</v>
      </c>
      <c r="O45" s="13">
        <f t="shared" si="109"/>
        <v>-0.38759000800076393</v>
      </c>
      <c r="Q45" s="16"/>
      <c r="R45" s="15" t="s">
        <v>8</v>
      </c>
      <c r="S45" s="12">
        <v>8</v>
      </c>
      <c r="T45" s="14">
        <v>57066.666666659999</v>
      </c>
      <c r="U45" s="12">
        <f t="shared" si="110"/>
        <v>-3</v>
      </c>
      <c r="V45" s="14">
        <f t="shared" si="111"/>
        <v>-8542.8571428499927</v>
      </c>
      <c r="W45" s="13">
        <f t="shared" si="112"/>
        <v>-0.13020757729705881</v>
      </c>
      <c r="Y45" s="16"/>
      <c r="Z45" s="15" t="s">
        <v>8</v>
      </c>
      <c r="AA45" s="12">
        <v>9</v>
      </c>
      <c r="AB45" s="14">
        <v>64200</v>
      </c>
      <c r="AC45" s="12">
        <f t="shared" si="113"/>
        <v>1</v>
      </c>
      <c r="AD45" s="14">
        <f t="shared" si="114"/>
        <v>7133.3333333400005</v>
      </c>
      <c r="AE45" s="13">
        <f t="shared" si="115"/>
        <v>0.12500000000013142</v>
      </c>
      <c r="AG45" s="16"/>
      <c r="AH45" s="15" t="s">
        <v>8</v>
      </c>
      <c r="AI45" s="12">
        <v>7</v>
      </c>
      <c r="AJ45" s="14">
        <v>59933.333333329996</v>
      </c>
      <c r="AK45" s="12">
        <f t="shared" si="116"/>
        <v>-2</v>
      </c>
      <c r="AL45" s="14">
        <f t="shared" si="117"/>
        <v>-4266.6666666700039</v>
      </c>
      <c r="AM45" s="13">
        <f t="shared" si="118"/>
        <v>-6.6458982346884798E-2</v>
      </c>
      <c r="AO45" s="16"/>
      <c r="AP45" s="15" t="s">
        <v>8</v>
      </c>
      <c r="AQ45" s="12">
        <v>7</v>
      </c>
      <c r="AR45" s="14">
        <v>59933.333333329996</v>
      </c>
      <c r="AS45" s="12">
        <f t="shared" si="119"/>
        <v>0</v>
      </c>
      <c r="AT45" s="14">
        <f t="shared" si="120"/>
        <v>0</v>
      </c>
      <c r="AU45" s="13">
        <f t="shared" si="121"/>
        <v>0</v>
      </c>
      <c r="AW45" s="16"/>
      <c r="AX45" s="15" t="s">
        <v>8</v>
      </c>
      <c r="AY45" s="12">
        <v>8</v>
      </c>
      <c r="AZ45" s="14">
        <v>67066.666666660007</v>
      </c>
      <c r="BA45" s="12">
        <f t="shared" si="122"/>
        <v>1</v>
      </c>
      <c r="BB45" s="14">
        <f t="shared" si="123"/>
        <v>7133.3333333300106</v>
      </c>
      <c r="BC45" s="13">
        <f t="shared" si="124"/>
        <v>0.11902113459394452</v>
      </c>
      <c r="BE45" s="16"/>
      <c r="BF45" s="15" t="s">
        <v>8</v>
      </c>
      <c r="BG45" s="12">
        <v>9</v>
      </c>
      <c r="BH45" s="14">
        <v>84199.999999990003</v>
      </c>
      <c r="BI45" s="12">
        <f t="shared" si="125"/>
        <v>1</v>
      </c>
      <c r="BJ45" s="14">
        <f t="shared" si="126"/>
        <v>17133.333333329996</v>
      </c>
      <c r="BK45" s="13">
        <f t="shared" si="127"/>
        <v>0.2554671968190611</v>
      </c>
      <c r="BL45" s="35"/>
      <c r="BM45" s="16"/>
      <c r="BN45" s="15" t="s">
        <v>8</v>
      </c>
      <c r="BO45" s="12">
        <v>8</v>
      </c>
      <c r="BP45" s="14">
        <v>67066.666666660007</v>
      </c>
      <c r="BQ45" s="12">
        <f t="shared" si="128"/>
        <v>-1</v>
      </c>
      <c r="BR45" s="14">
        <f t="shared" si="129"/>
        <v>-17133.333333329996</v>
      </c>
      <c r="BS45" s="13">
        <f t="shared" si="130"/>
        <v>-0.2034837688044184</v>
      </c>
      <c r="BU45" s="16"/>
      <c r="BV45" s="15" t="s">
        <v>8</v>
      </c>
      <c r="BW45" s="12">
        <v>21</v>
      </c>
      <c r="BX45" s="14">
        <v>122087.61904761</v>
      </c>
      <c r="BY45" s="12">
        <f t="shared" si="131"/>
        <v>13</v>
      </c>
      <c r="BZ45" s="14">
        <f t="shared" si="132"/>
        <v>55020.952380949995</v>
      </c>
      <c r="CA45" s="13">
        <f t="shared" si="133"/>
        <v>0.82039193410967381</v>
      </c>
      <c r="CC45" s="16"/>
      <c r="CD45" s="15" t="s">
        <v>8</v>
      </c>
      <c r="CE45" s="12">
        <v>37</v>
      </c>
      <c r="CF45" s="14">
        <v>236220.95238093002</v>
      </c>
      <c r="CG45" s="12">
        <f t="shared" si="134"/>
        <v>16</v>
      </c>
      <c r="CH45" s="14">
        <f t="shared" si="135"/>
        <v>114133.33333332001</v>
      </c>
      <c r="CI45" s="13">
        <f t="shared" si="136"/>
        <v>0.93484772840734909</v>
      </c>
      <c r="CK45" s="16"/>
      <c r="CL45" s="15" t="s">
        <v>8</v>
      </c>
      <c r="CM45" s="12">
        <v>24</v>
      </c>
      <c r="CN45" s="14">
        <v>150843.80952379998</v>
      </c>
      <c r="CO45" s="12">
        <f t="shared" si="137"/>
        <v>-13</v>
      </c>
      <c r="CP45" s="14">
        <f t="shared" si="138"/>
        <v>-85377.142857130035</v>
      </c>
      <c r="CQ45" s="13">
        <f t="shared" si="139"/>
        <v>-0.36142917042960193</v>
      </c>
      <c r="CS45" s="16"/>
      <c r="CT45" s="15" t="s">
        <v>8</v>
      </c>
      <c r="CU45" s="12">
        <v>29</v>
      </c>
      <c r="CV45" s="14">
        <v>216866.66666664003</v>
      </c>
      <c r="CW45" s="12">
        <f t="shared" si="140"/>
        <v>5</v>
      </c>
      <c r="CX45" s="14">
        <f t="shared" si="141"/>
        <v>66022.857142840046</v>
      </c>
      <c r="CY45" s="13">
        <f t="shared" si="142"/>
        <v>0.43769019989131891</v>
      </c>
    </row>
    <row r="46" spans="1:103" s="12" customFormat="1" ht="20" customHeight="1">
      <c r="A46" s="16"/>
      <c r="B46" s="15" t="s">
        <v>7</v>
      </c>
      <c r="C46" s="12">
        <v>23</v>
      </c>
      <c r="D46" s="14">
        <v>316857.14285708003</v>
      </c>
      <c r="F46" s="14"/>
      <c r="G46" s="13"/>
      <c r="I46" s="16"/>
      <c r="J46" s="15" t="s">
        <v>7</v>
      </c>
      <c r="K46" s="12">
        <v>17</v>
      </c>
      <c r="L46" s="14">
        <v>238571.42857136999</v>
      </c>
      <c r="M46" s="12">
        <f t="shared" si="107"/>
        <v>-6</v>
      </c>
      <c r="N46" s="14">
        <f t="shared" si="108"/>
        <v>-78285.714285710041</v>
      </c>
      <c r="O46" s="13">
        <f t="shared" si="109"/>
        <v>-0.24706943192068481</v>
      </c>
      <c r="Q46" s="16"/>
      <c r="R46" s="15" t="s">
        <v>7</v>
      </c>
      <c r="S46" s="12">
        <v>19</v>
      </c>
      <c r="T46" s="14">
        <v>233047.61904757001</v>
      </c>
      <c r="U46" s="12">
        <f t="shared" si="110"/>
        <v>2</v>
      </c>
      <c r="V46" s="14">
        <f t="shared" si="111"/>
        <v>-5523.8095237999805</v>
      </c>
      <c r="W46" s="13">
        <f t="shared" si="112"/>
        <v>-2.3153692614736144E-2</v>
      </c>
      <c r="Y46" s="16"/>
      <c r="Z46" s="15" t="s">
        <v>7</v>
      </c>
      <c r="AA46" s="12">
        <v>13</v>
      </c>
      <c r="AB46" s="14">
        <v>171523.80952377</v>
      </c>
      <c r="AC46" s="12">
        <f t="shared" si="113"/>
        <v>-6</v>
      </c>
      <c r="AD46" s="14">
        <f t="shared" si="114"/>
        <v>-61523.80952380001</v>
      </c>
      <c r="AE46" s="13">
        <f t="shared" si="115"/>
        <v>-0.26399673069065632</v>
      </c>
      <c r="AG46" s="16"/>
      <c r="AH46" s="15" t="s">
        <v>7</v>
      </c>
      <c r="AI46" s="12">
        <v>6</v>
      </c>
      <c r="AJ46" s="14">
        <v>72190.476190460002</v>
      </c>
      <c r="AK46" s="12">
        <f t="shared" si="116"/>
        <v>-7</v>
      </c>
      <c r="AL46" s="14">
        <f t="shared" si="117"/>
        <v>-99333.333333310002</v>
      </c>
      <c r="AM46" s="13">
        <f t="shared" si="118"/>
        <v>-0.57912270960577195</v>
      </c>
      <c r="AO46" s="16"/>
      <c r="AP46" s="15" t="s">
        <v>7</v>
      </c>
      <c r="AQ46" s="12">
        <v>6</v>
      </c>
      <c r="AR46" s="14">
        <v>93523.809523789998</v>
      </c>
      <c r="AS46" s="12">
        <f t="shared" si="119"/>
        <v>0</v>
      </c>
      <c r="AT46" s="14">
        <f t="shared" si="120"/>
        <v>21333.333333329996</v>
      </c>
      <c r="AU46" s="13">
        <f t="shared" si="121"/>
        <v>0.29551451187337097</v>
      </c>
      <c r="AW46" s="16"/>
      <c r="AX46" s="15" t="s">
        <v>7</v>
      </c>
      <c r="AY46" s="12">
        <v>11</v>
      </c>
      <c r="AZ46" s="14">
        <v>158380.95238093002</v>
      </c>
      <c r="BA46" s="12">
        <f t="shared" si="122"/>
        <v>5</v>
      </c>
      <c r="BB46" s="14">
        <f t="shared" si="123"/>
        <v>64857.142857140017</v>
      </c>
      <c r="BC46" s="13">
        <f t="shared" si="124"/>
        <v>0.69348268839115312</v>
      </c>
      <c r="BE46" s="16"/>
      <c r="BF46" s="15" t="s">
        <v>7</v>
      </c>
      <c r="BG46" s="12">
        <v>11</v>
      </c>
      <c r="BH46" s="14">
        <v>144283.80952377999</v>
      </c>
      <c r="BI46" s="12">
        <f t="shared" si="125"/>
        <v>0</v>
      </c>
      <c r="BJ46" s="14">
        <f t="shared" si="126"/>
        <v>-14097.142857150029</v>
      </c>
      <c r="BK46" s="13">
        <f t="shared" si="127"/>
        <v>-8.9007817197893094E-2</v>
      </c>
      <c r="BL46" s="35"/>
      <c r="BM46" s="16"/>
      <c r="BN46" s="15" t="s">
        <v>7</v>
      </c>
      <c r="BO46" s="12">
        <v>10</v>
      </c>
      <c r="BP46" s="14">
        <v>119426.66666663002</v>
      </c>
      <c r="BQ46" s="12">
        <f t="shared" si="128"/>
        <v>-1</v>
      </c>
      <c r="BR46" s="14">
        <f t="shared" si="129"/>
        <v>-24857.142857149971</v>
      </c>
      <c r="BS46" s="13">
        <f t="shared" si="130"/>
        <v>-0.17227950203971545</v>
      </c>
      <c r="BU46" s="16"/>
      <c r="BV46" s="15" t="s">
        <v>7</v>
      </c>
      <c r="BW46" s="12">
        <v>10</v>
      </c>
      <c r="BX46" s="14">
        <v>108571.42857140998</v>
      </c>
      <c r="BY46" s="12">
        <f t="shared" si="131"/>
        <v>0</v>
      </c>
      <c r="BZ46" s="14">
        <f t="shared" si="132"/>
        <v>-10855.238095220033</v>
      </c>
      <c r="CA46" s="13">
        <f t="shared" si="133"/>
        <v>-9.0894591620157672E-2</v>
      </c>
      <c r="CC46" s="16"/>
      <c r="CD46" s="15" t="s">
        <v>7</v>
      </c>
      <c r="CE46" s="12">
        <v>14</v>
      </c>
      <c r="CF46" s="14">
        <v>168761.90476189001</v>
      </c>
      <c r="CG46" s="12">
        <f t="shared" si="134"/>
        <v>4</v>
      </c>
      <c r="CH46" s="14">
        <f t="shared" si="135"/>
        <v>60190.476190480025</v>
      </c>
      <c r="CI46" s="13">
        <f t="shared" si="136"/>
        <v>0.55438596491241099</v>
      </c>
      <c r="CK46" s="16"/>
      <c r="CL46" s="15" t="s">
        <v>7</v>
      </c>
      <c r="CM46" s="12">
        <v>14</v>
      </c>
      <c r="CN46" s="14">
        <v>189059.99999993999</v>
      </c>
      <c r="CO46" s="12">
        <f t="shared" si="137"/>
        <v>0</v>
      </c>
      <c r="CP46" s="14">
        <f t="shared" si="138"/>
        <v>20298.09523804998</v>
      </c>
      <c r="CQ46" s="13">
        <f t="shared" si="139"/>
        <v>0.12027652370177394</v>
      </c>
      <c r="CS46" s="16"/>
      <c r="CT46" s="15" t="s">
        <v>7</v>
      </c>
      <c r="CU46" s="12">
        <v>11</v>
      </c>
      <c r="CV46" s="14">
        <v>133024.76190471998</v>
      </c>
      <c r="CW46" s="12">
        <f t="shared" si="140"/>
        <v>-3</v>
      </c>
      <c r="CX46" s="14">
        <f t="shared" si="141"/>
        <v>-56035.238095220004</v>
      </c>
      <c r="CY46" s="13">
        <f t="shared" si="142"/>
        <v>-0.29638864960984762</v>
      </c>
    </row>
    <row r="47" spans="1:103" s="12" customFormat="1" ht="20" customHeight="1">
      <c r="A47" s="16"/>
      <c r="B47" s="15" t="s">
        <v>6</v>
      </c>
      <c r="C47" s="12">
        <v>1</v>
      </c>
      <c r="D47" s="14">
        <v>2857.1428571400002</v>
      </c>
      <c r="F47" s="14"/>
      <c r="G47" s="13"/>
      <c r="I47" s="16"/>
      <c r="J47" s="15" t="s">
        <v>6</v>
      </c>
      <c r="K47" s="12">
        <v>1</v>
      </c>
      <c r="L47" s="14">
        <v>8857.1428571399993</v>
      </c>
      <c r="M47" s="12">
        <f t="shared" si="107"/>
        <v>0</v>
      </c>
      <c r="N47" s="14">
        <f t="shared" si="108"/>
        <v>5999.9999999999991</v>
      </c>
      <c r="O47" s="13">
        <f t="shared" si="109"/>
        <v>2.1000000000020997</v>
      </c>
      <c r="Q47" s="16"/>
      <c r="R47" s="15" t="s">
        <v>6</v>
      </c>
      <c r="S47" s="12">
        <v>4</v>
      </c>
      <c r="T47" s="14">
        <v>11428.571428560001</v>
      </c>
      <c r="U47" s="12">
        <f t="shared" si="110"/>
        <v>3</v>
      </c>
      <c r="V47" s="14">
        <f t="shared" si="111"/>
        <v>2571.4285714200014</v>
      </c>
      <c r="W47" s="13">
        <f t="shared" si="112"/>
        <v>0.2903225806442874</v>
      </c>
      <c r="Y47" s="16"/>
      <c r="Z47" s="15" t="s">
        <v>6</v>
      </c>
      <c r="AA47" s="12">
        <v>1</v>
      </c>
      <c r="AB47" s="14">
        <v>2857.1428571400002</v>
      </c>
      <c r="AC47" s="12">
        <f t="shared" si="113"/>
        <v>-3</v>
      </c>
      <c r="AD47" s="14">
        <f t="shared" si="114"/>
        <v>-8571.4285714200014</v>
      </c>
      <c r="AE47" s="13">
        <f t="shared" si="115"/>
        <v>-0.75000000000000011</v>
      </c>
      <c r="AG47" s="16"/>
      <c r="AH47" s="15" t="s">
        <v>6</v>
      </c>
      <c r="AI47" s="12">
        <v>2</v>
      </c>
      <c r="AJ47" s="14">
        <v>5714.2857142800003</v>
      </c>
      <c r="AK47" s="12">
        <f t="shared" si="116"/>
        <v>1</v>
      </c>
      <c r="AL47" s="14">
        <f t="shared" si="117"/>
        <v>2857.1428571400002</v>
      </c>
      <c r="AM47" s="13">
        <f t="shared" si="118"/>
        <v>1</v>
      </c>
      <c r="AO47" s="16"/>
      <c r="AP47" s="15" t="s">
        <v>6</v>
      </c>
      <c r="AQ47" s="12">
        <v>2</v>
      </c>
      <c r="AR47" s="14">
        <v>5714.2857142800003</v>
      </c>
      <c r="AS47" s="12">
        <f t="shared" si="119"/>
        <v>0</v>
      </c>
      <c r="AT47" s="14">
        <f t="shared" si="120"/>
        <v>0</v>
      </c>
      <c r="AU47" s="13">
        <f t="shared" si="121"/>
        <v>0</v>
      </c>
      <c r="AW47" s="16"/>
      <c r="AX47" s="15" t="s">
        <v>6</v>
      </c>
      <c r="AY47" s="12">
        <v>0</v>
      </c>
      <c r="AZ47" s="14">
        <v>0</v>
      </c>
      <c r="BA47" s="12">
        <f t="shared" si="122"/>
        <v>-2</v>
      </c>
      <c r="BB47" s="14">
        <f t="shared" si="123"/>
        <v>-5714.2857142800003</v>
      </c>
      <c r="BC47" s="13">
        <f t="shared" si="124"/>
        <v>-1</v>
      </c>
      <c r="BE47" s="16"/>
      <c r="BF47" s="15" t="s">
        <v>6</v>
      </c>
      <c r="BG47" s="12">
        <v>2</v>
      </c>
      <c r="BH47" s="14">
        <v>5714.2857142800003</v>
      </c>
      <c r="BI47" s="12">
        <f t="shared" si="125"/>
        <v>2</v>
      </c>
      <c r="BJ47" s="14">
        <f t="shared" si="126"/>
        <v>5714.2857142800003</v>
      </c>
      <c r="BK47" s="13" t="e">
        <f t="shared" si="127"/>
        <v>#DIV/0!</v>
      </c>
      <c r="BL47" s="14"/>
      <c r="BM47" s="16"/>
      <c r="BN47" s="15" t="s">
        <v>6</v>
      </c>
      <c r="BO47" s="12">
        <v>1</v>
      </c>
      <c r="BP47" s="14">
        <v>2857.1428571400002</v>
      </c>
      <c r="BQ47" s="12">
        <f t="shared" si="128"/>
        <v>-1</v>
      </c>
      <c r="BR47" s="14">
        <f t="shared" si="129"/>
        <v>-2857.1428571400002</v>
      </c>
      <c r="BS47" s="13">
        <f t="shared" si="130"/>
        <v>-0.5</v>
      </c>
      <c r="BU47" s="16"/>
      <c r="BV47" s="15" t="s">
        <v>6</v>
      </c>
      <c r="BW47" s="12">
        <v>4</v>
      </c>
      <c r="BX47" s="14">
        <v>29428.571428559997</v>
      </c>
      <c r="BY47" s="12">
        <f t="shared" si="131"/>
        <v>3</v>
      </c>
      <c r="BZ47" s="14">
        <f t="shared" si="132"/>
        <v>26571.428571419998</v>
      </c>
      <c r="CA47" s="13">
        <f t="shared" si="133"/>
        <v>9.3000000000062979</v>
      </c>
      <c r="CC47" s="16"/>
      <c r="CD47" s="15" t="s">
        <v>6</v>
      </c>
      <c r="CE47" s="12">
        <v>3</v>
      </c>
      <c r="CF47" s="14">
        <v>8571.4285714200014</v>
      </c>
      <c r="CG47" s="12">
        <f t="shared" si="134"/>
        <v>-1</v>
      </c>
      <c r="CH47" s="14">
        <f t="shared" si="135"/>
        <v>-20857.142857139996</v>
      </c>
      <c r="CI47" s="13">
        <f t="shared" si="136"/>
        <v>-0.708737864077848</v>
      </c>
      <c r="CK47" s="16"/>
      <c r="CL47" s="15" t="s">
        <v>6</v>
      </c>
      <c r="CM47" s="12">
        <v>2</v>
      </c>
      <c r="CN47" s="14">
        <v>5714.2857142800003</v>
      </c>
      <c r="CO47" s="12">
        <f t="shared" si="137"/>
        <v>-1</v>
      </c>
      <c r="CP47" s="14">
        <f t="shared" si="138"/>
        <v>-2857.1428571400011</v>
      </c>
      <c r="CQ47" s="13">
        <f t="shared" si="139"/>
        <v>-0.33333333333333343</v>
      </c>
      <c r="CS47" s="16"/>
      <c r="CT47" s="15" t="s">
        <v>6</v>
      </c>
      <c r="CU47" s="38">
        <v>2</v>
      </c>
      <c r="CV47" s="14">
        <v>11714.285714279999</v>
      </c>
      <c r="CW47" s="12">
        <f t="shared" si="140"/>
        <v>0</v>
      </c>
      <c r="CX47" s="14">
        <f t="shared" si="141"/>
        <v>5999.9999999999982</v>
      </c>
      <c r="CY47" s="13">
        <f t="shared" si="142"/>
        <v>1.0500000000010496</v>
      </c>
    </row>
    <row r="48" spans="1:103" s="12" customFormat="1" ht="20" customHeight="1">
      <c r="A48" s="16"/>
      <c r="B48" s="15" t="s">
        <v>5</v>
      </c>
      <c r="C48" s="12">
        <v>3</v>
      </c>
      <c r="D48" s="14">
        <v>15370</v>
      </c>
      <c r="F48" s="14"/>
      <c r="G48" s="13"/>
      <c r="I48" s="16"/>
      <c r="J48" s="15" t="s">
        <v>5</v>
      </c>
      <c r="K48" s="12">
        <v>5</v>
      </c>
      <c r="L48" s="14">
        <v>20450</v>
      </c>
      <c r="M48" s="12">
        <f t="shared" si="107"/>
        <v>2</v>
      </c>
      <c r="N48" s="14">
        <f t="shared" si="108"/>
        <v>5080</v>
      </c>
      <c r="O48" s="13">
        <f t="shared" si="109"/>
        <v>0.33051398828887441</v>
      </c>
      <c r="Q48" s="16"/>
      <c r="R48" s="15" t="s">
        <v>5</v>
      </c>
      <c r="S48" s="12">
        <v>4</v>
      </c>
      <c r="T48" s="14">
        <v>21860</v>
      </c>
      <c r="U48" s="12">
        <f t="shared" si="110"/>
        <v>-1</v>
      </c>
      <c r="V48" s="14">
        <f t="shared" si="111"/>
        <v>1410</v>
      </c>
      <c r="W48" s="13">
        <f t="shared" si="112"/>
        <v>6.8948655256723723E-2</v>
      </c>
      <c r="Y48" s="16"/>
      <c r="Z48" s="15" t="s">
        <v>5</v>
      </c>
      <c r="AA48" s="12">
        <v>0</v>
      </c>
      <c r="AB48" s="14">
        <v>0</v>
      </c>
      <c r="AC48" s="12">
        <f t="shared" si="113"/>
        <v>-4</v>
      </c>
      <c r="AD48" s="14">
        <f t="shared" si="114"/>
        <v>-21860</v>
      </c>
      <c r="AE48" s="13">
        <f t="shared" si="115"/>
        <v>-1</v>
      </c>
      <c r="AG48" s="16"/>
      <c r="AH48" s="15" t="s">
        <v>5</v>
      </c>
      <c r="AI48" s="12">
        <v>2</v>
      </c>
      <c r="AJ48" s="14">
        <v>11680</v>
      </c>
      <c r="AK48" s="12">
        <f t="shared" si="116"/>
        <v>2</v>
      </c>
      <c r="AL48" s="14">
        <f t="shared" si="117"/>
        <v>11680</v>
      </c>
      <c r="AM48" s="13" t="e">
        <f t="shared" si="118"/>
        <v>#DIV/0!</v>
      </c>
      <c r="AO48" s="16"/>
      <c r="AP48" s="15" t="s">
        <v>5</v>
      </c>
      <c r="AQ48" s="12">
        <v>6</v>
      </c>
      <c r="AR48" s="14">
        <v>24640</v>
      </c>
      <c r="AS48" s="12">
        <f t="shared" si="119"/>
        <v>4</v>
      </c>
      <c r="AT48" s="14">
        <f t="shared" si="120"/>
        <v>12960</v>
      </c>
      <c r="AU48" s="13">
        <f t="shared" si="121"/>
        <v>1.1095890410958904</v>
      </c>
      <c r="AW48" s="16"/>
      <c r="AX48" s="15" t="s">
        <v>5</v>
      </c>
      <c r="AY48" s="12">
        <v>3</v>
      </c>
      <c r="AZ48" s="14">
        <v>15270</v>
      </c>
      <c r="BA48" s="12">
        <f t="shared" si="122"/>
        <v>-3</v>
      </c>
      <c r="BB48" s="14">
        <f t="shared" si="123"/>
        <v>-9370</v>
      </c>
      <c r="BC48" s="13">
        <f t="shared" si="124"/>
        <v>-0.38027597402597402</v>
      </c>
      <c r="BE48" s="16"/>
      <c r="BF48" s="15" t="s">
        <v>5</v>
      </c>
      <c r="BG48" s="12">
        <v>2</v>
      </c>
      <c r="BH48" s="14">
        <v>5780</v>
      </c>
      <c r="BI48" s="12">
        <f t="shared" si="125"/>
        <v>-1</v>
      </c>
      <c r="BJ48" s="14">
        <f t="shared" si="126"/>
        <v>-9490</v>
      </c>
      <c r="BK48" s="13">
        <f t="shared" si="127"/>
        <v>-0.62148002619515386</v>
      </c>
      <c r="BL48" s="35"/>
      <c r="BM48" s="16"/>
      <c r="BN48" s="15" t="s">
        <v>5</v>
      </c>
      <c r="BO48" s="12">
        <v>5</v>
      </c>
      <c r="BP48" s="14">
        <v>23150</v>
      </c>
      <c r="BQ48" s="12">
        <f t="shared" si="128"/>
        <v>3</v>
      </c>
      <c r="BR48" s="14">
        <f t="shared" si="129"/>
        <v>17370</v>
      </c>
      <c r="BS48" s="13">
        <f t="shared" si="130"/>
        <v>3.0051903114186853</v>
      </c>
      <c r="BU48" s="16"/>
      <c r="BV48" s="15" t="s">
        <v>5</v>
      </c>
      <c r="BW48" s="12">
        <v>1</v>
      </c>
      <c r="BX48" s="14">
        <v>1400</v>
      </c>
      <c r="BY48" s="12">
        <f t="shared" si="131"/>
        <v>-4</v>
      </c>
      <c r="BZ48" s="14">
        <f t="shared" si="132"/>
        <v>-21750</v>
      </c>
      <c r="CA48" s="13">
        <f t="shared" si="133"/>
        <v>-0.93952483801295894</v>
      </c>
      <c r="CC48" s="16"/>
      <c r="CD48" s="15" t="s">
        <v>5</v>
      </c>
      <c r="CE48" s="12">
        <v>4</v>
      </c>
      <c r="CF48" s="14">
        <v>13170</v>
      </c>
      <c r="CG48" s="12">
        <f t="shared" si="134"/>
        <v>3</v>
      </c>
      <c r="CH48" s="14">
        <f t="shared" si="135"/>
        <v>11770</v>
      </c>
      <c r="CI48" s="13">
        <f t="shared" si="136"/>
        <v>8.4071428571428566</v>
      </c>
      <c r="CK48" s="16"/>
      <c r="CL48" s="15" t="s">
        <v>5</v>
      </c>
      <c r="CM48" s="12">
        <v>3</v>
      </c>
      <c r="CN48" s="14">
        <v>10070</v>
      </c>
      <c r="CO48" s="12">
        <f t="shared" si="137"/>
        <v>-1</v>
      </c>
      <c r="CP48" s="14">
        <f t="shared" si="138"/>
        <v>-3100</v>
      </c>
      <c r="CQ48" s="13">
        <f t="shared" si="139"/>
        <v>-0.23538344722854973</v>
      </c>
      <c r="CS48" s="16"/>
      <c r="CT48" s="15" t="s">
        <v>5</v>
      </c>
      <c r="CU48" s="12">
        <v>2</v>
      </c>
      <c r="CV48" s="14">
        <v>4380</v>
      </c>
      <c r="CW48" s="12">
        <f t="shared" si="140"/>
        <v>-1</v>
      </c>
      <c r="CX48" s="14">
        <f t="shared" si="141"/>
        <v>-5690</v>
      </c>
      <c r="CY48" s="13">
        <f t="shared" si="142"/>
        <v>-0.56504468718967227</v>
      </c>
    </row>
    <row r="49" spans="1:103" s="12" customFormat="1" ht="20" customHeight="1">
      <c r="A49" s="16"/>
      <c r="B49" s="15" t="s">
        <v>4</v>
      </c>
      <c r="C49" s="12">
        <v>2</v>
      </c>
      <c r="D49" s="14">
        <v>80666.66666665001</v>
      </c>
      <c r="F49" s="14"/>
      <c r="G49" s="13"/>
      <c r="I49" s="16"/>
      <c r="J49" s="15" t="s">
        <v>4</v>
      </c>
      <c r="K49" s="12">
        <v>1</v>
      </c>
      <c r="L49" s="14">
        <v>31797.142857139999</v>
      </c>
      <c r="M49" s="12">
        <f t="shared" si="107"/>
        <v>-1</v>
      </c>
      <c r="N49" s="14">
        <f t="shared" si="108"/>
        <v>-48869.523809510007</v>
      </c>
      <c r="O49" s="13">
        <f t="shared" si="109"/>
        <v>-0.60582054309322431</v>
      </c>
      <c r="Q49" s="16"/>
      <c r="R49" s="15" t="s">
        <v>4</v>
      </c>
      <c r="S49" s="12">
        <v>2</v>
      </c>
      <c r="T49" s="14">
        <v>102768.57142856001</v>
      </c>
      <c r="U49" s="12">
        <f t="shared" si="110"/>
        <v>1</v>
      </c>
      <c r="V49" s="14">
        <f t="shared" si="111"/>
        <v>70971.428571420009</v>
      </c>
      <c r="W49" s="13">
        <f t="shared" si="112"/>
        <v>2.2320064695839013</v>
      </c>
      <c r="Y49" s="16"/>
      <c r="Z49" s="15" t="s">
        <v>4</v>
      </c>
      <c r="AA49" s="12">
        <v>1</v>
      </c>
      <c r="AB49" s="14">
        <v>34190.476190469999</v>
      </c>
      <c r="AC49" s="12">
        <f t="shared" si="113"/>
        <v>-1</v>
      </c>
      <c r="AD49" s="14">
        <f t="shared" si="114"/>
        <v>-68578.095238090013</v>
      </c>
      <c r="AE49" s="13">
        <f t="shared" si="115"/>
        <v>-0.66730610618405217</v>
      </c>
      <c r="AG49" s="16"/>
      <c r="AH49" s="15" t="s">
        <v>4</v>
      </c>
      <c r="AI49" s="12">
        <v>1</v>
      </c>
      <c r="AJ49" s="14">
        <v>36668.571428570001</v>
      </c>
      <c r="AK49" s="12">
        <f t="shared" si="116"/>
        <v>0</v>
      </c>
      <c r="AL49" s="14">
        <f t="shared" si="117"/>
        <v>2478.0952381000025</v>
      </c>
      <c r="AM49" s="13">
        <f t="shared" si="118"/>
        <v>7.2479108635249964E-2</v>
      </c>
      <c r="AO49" s="16"/>
      <c r="AP49" s="15" t="s">
        <v>4</v>
      </c>
      <c r="AQ49" s="12">
        <v>2</v>
      </c>
      <c r="AR49" s="14">
        <v>68380.952380939998</v>
      </c>
      <c r="AS49" s="12">
        <f t="shared" si="119"/>
        <v>1</v>
      </c>
      <c r="AT49" s="14">
        <f t="shared" si="120"/>
        <v>31712.380952369997</v>
      </c>
      <c r="AU49" s="13">
        <f t="shared" si="121"/>
        <v>0.86483819022361941</v>
      </c>
      <c r="AW49" s="16"/>
      <c r="AX49" s="15" t="s">
        <v>4</v>
      </c>
      <c r="AY49" s="12">
        <v>4</v>
      </c>
      <c r="AZ49" s="14">
        <v>115797.14285711999</v>
      </c>
      <c r="BA49" s="12">
        <f t="shared" si="122"/>
        <v>2</v>
      </c>
      <c r="BB49" s="14">
        <f t="shared" si="123"/>
        <v>47416.190476179996</v>
      </c>
      <c r="BC49" s="13">
        <f t="shared" si="124"/>
        <v>0.69341225626738179</v>
      </c>
      <c r="BE49" s="16"/>
      <c r="BF49" s="15" t="s">
        <v>4</v>
      </c>
      <c r="BG49" s="12">
        <v>2</v>
      </c>
      <c r="BH49" s="14">
        <v>71714.285714269994</v>
      </c>
      <c r="BI49" s="12">
        <f t="shared" si="125"/>
        <v>-2</v>
      </c>
      <c r="BJ49" s="14">
        <f t="shared" si="126"/>
        <v>-44082.85714285</v>
      </c>
      <c r="BK49" s="13">
        <f t="shared" si="127"/>
        <v>-0.38069036985863325</v>
      </c>
      <c r="BL49" s="35"/>
      <c r="BM49" s="16"/>
      <c r="BN49" s="15" t="s">
        <v>4</v>
      </c>
      <c r="BO49" s="12">
        <v>1</v>
      </c>
      <c r="BP49" s="14">
        <v>34190.476190469999</v>
      </c>
      <c r="BQ49" s="12">
        <f t="shared" si="128"/>
        <v>-1</v>
      </c>
      <c r="BR49" s="14">
        <f t="shared" si="129"/>
        <v>-37523.809523799995</v>
      </c>
      <c r="BS49" s="13">
        <f t="shared" si="130"/>
        <v>-0.52324037184593131</v>
      </c>
      <c r="BU49" s="16"/>
      <c r="BV49" s="15" t="s">
        <v>4</v>
      </c>
      <c r="BW49" s="12">
        <v>3</v>
      </c>
      <c r="BX49" s="14">
        <v>112571.42857141001</v>
      </c>
      <c r="BY49" s="12">
        <f t="shared" si="131"/>
        <v>2</v>
      </c>
      <c r="BZ49" s="14">
        <f t="shared" si="132"/>
        <v>78380.952380940013</v>
      </c>
      <c r="CA49" s="13">
        <f t="shared" si="133"/>
        <v>2.2924791086351508</v>
      </c>
      <c r="CC49" s="16"/>
      <c r="CD49" s="15" t="s">
        <v>4</v>
      </c>
      <c r="CE49" s="12">
        <v>4</v>
      </c>
      <c r="CF49" s="14">
        <v>146768.57142855</v>
      </c>
      <c r="CG49" s="12">
        <f t="shared" si="134"/>
        <v>1</v>
      </c>
      <c r="CH49" s="14">
        <f t="shared" si="135"/>
        <v>34197.142857139988</v>
      </c>
      <c r="CI49" s="13">
        <f t="shared" si="136"/>
        <v>0.30378172588834945</v>
      </c>
      <c r="CK49" s="16"/>
      <c r="CL49" s="15" t="s">
        <v>4</v>
      </c>
      <c r="CM49" s="12">
        <v>2</v>
      </c>
      <c r="CN49" s="14">
        <v>56476.190476180003</v>
      </c>
      <c r="CO49" s="12">
        <f t="shared" si="137"/>
        <v>-2</v>
      </c>
      <c r="CP49" s="14">
        <f t="shared" si="138"/>
        <v>-90292.380952370004</v>
      </c>
      <c r="CQ49" s="13">
        <f t="shared" si="139"/>
        <v>-0.61520242428963223</v>
      </c>
      <c r="CS49" s="16"/>
      <c r="CT49" s="15" t="s">
        <v>4</v>
      </c>
      <c r="CU49" s="12">
        <v>2</v>
      </c>
      <c r="CV49" s="14">
        <v>46952.380952370004</v>
      </c>
      <c r="CW49" s="12">
        <f t="shared" si="140"/>
        <v>0</v>
      </c>
      <c r="CX49" s="14">
        <f t="shared" si="141"/>
        <v>-9523.8095238099995</v>
      </c>
      <c r="CY49" s="13">
        <f t="shared" si="142"/>
        <v>-0.16863406408098405</v>
      </c>
    </row>
    <row r="50" spans="1:103" s="12" customFormat="1" ht="20" customHeight="1">
      <c r="A50" s="16"/>
      <c r="B50" s="15" t="s">
        <v>3</v>
      </c>
      <c r="C50" s="12">
        <v>15</v>
      </c>
      <c r="D50" s="14">
        <v>253142.85714283003</v>
      </c>
      <c r="F50" s="14"/>
      <c r="G50" s="13"/>
      <c r="I50" s="16"/>
      <c r="J50" s="15" t="s">
        <v>3</v>
      </c>
      <c r="K50" s="12">
        <v>14</v>
      </c>
      <c r="L50" s="14">
        <v>279714.28571423999</v>
      </c>
      <c r="M50" s="12">
        <f t="shared" si="107"/>
        <v>-1</v>
      </c>
      <c r="N50" s="14">
        <f t="shared" si="108"/>
        <v>26571.428571409953</v>
      </c>
      <c r="O50" s="13">
        <f t="shared" si="109"/>
        <v>0.10496613995479097</v>
      </c>
      <c r="Q50" s="16"/>
      <c r="R50" s="15" t="s">
        <v>3</v>
      </c>
      <c r="S50" s="12">
        <v>10</v>
      </c>
      <c r="T50" s="14">
        <v>175523.80952377</v>
      </c>
      <c r="U50" s="12">
        <f t="shared" si="110"/>
        <v>-4</v>
      </c>
      <c r="V50" s="14">
        <f t="shared" si="111"/>
        <v>-104190.47619046998</v>
      </c>
      <c r="W50" s="13">
        <f t="shared" si="112"/>
        <v>-0.3724889342867258</v>
      </c>
      <c r="Y50" s="16"/>
      <c r="Z50" s="15" t="s">
        <v>3</v>
      </c>
      <c r="AA50" s="12">
        <v>9</v>
      </c>
      <c r="AB50" s="14">
        <v>169428.57142855</v>
      </c>
      <c r="AC50" s="12">
        <f t="shared" si="113"/>
        <v>-1</v>
      </c>
      <c r="AD50" s="14">
        <f t="shared" si="114"/>
        <v>-6095.2380952200037</v>
      </c>
      <c r="AE50" s="13">
        <f t="shared" si="115"/>
        <v>-3.4725990233219997E-2</v>
      </c>
      <c r="AG50" s="16"/>
      <c r="AH50" s="15" t="s">
        <v>3</v>
      </c>
      <c r="AI50" s="12">
        <v>5</v>
      </c>
      <c r="AJ50" s="14">
        <v>121238.09523807999</v>
      </c>
      <c r="AK50" s="12">
        <f t="shared" si="116"/>
        <v>-4</v>
      </c>
      <c r="AL50" s="14">
        <f t="shared" si="117"/>
        <v>-48190.476190470014</v>
      </c>
      <c r="AM50" s="13">
        <f t="shared" si="118"/>
        <v>-0.28442945474985898</v>
      </c>
      <c r="AO50" s="16"/>
      <c r="AP50" s="15" t="s">
        <v>3</v>
      </c>
      <c r="AQ50" s="12">
        <v>15</v>
      </c>
      <c r="AR50" s="14">
        <v>258952.38095234003</v>
      </c>
      <c r="AS50" s="12">
        <f t="shared" si="119"/>
        <v>10</v>
      </c>
      <c r="AT50" s="14">
        <f t="shared" si="120"/>
        <v>137714.28571426004</v>
      </c>
      <c r="AU50" s="13">
        <f t="shared" si="121"/>
        <v>1.1358994501177631</v>
      </c>
      <c r="AW50" s="16"/>
      <c r="AX50" s="15" t="s">
        <v>3</v>
      </c>
      <c r="AY50" s="12">
        <v>11</v>
      </c>
      <c r="AZ50" s="14">
        <v>234952.38095234998</v>
      </c>
      <c r="BA50" s="12">
        <f t="shared" si="122"/>
        <v>-4</v>
      </c>
      <c r="BB50" s="14">
        <f t="shared" si="123"/>
        <v>-23999.999999990046</v>
      </c>
      <c r="BC50" s="13">
        <f t="shared" si="124"/>
        <v>-9.2681132769376728E-2</v>
      </c>
      <c r="BE50" s="16"/>
      <c r="BF50" s="15" t="s">
        <v>3</v>
      </c>
      <c r="BG50" s="12">
        <v>9</v>
      </c>
      <c r="BH50" s="14">
        <v>244666.66666662003</v>
      </c>
      <c r="BI50" s="12">
        <f t="shared" si="125"/>
        <v>-2</v>
      </c>
      <c r="BJ50" s="14">
        <f t="shared" si="126"/>
        <v>9714.2857142700523</v>
      </c>
      <c r="BK50" s="13">
        <f t="shared" si="127"/>
        <v>4.1345764085873121E-2</v>
      </c>
      <c r="BL50" s="35"/>
      <c r="BM50" s="16"/>
      <c r="BN50" s="15" t="s">
        <v>3</v>
      </c>
      <c r="BO50" s="12">
        <v>8</v>
      </c>
      <c r="BP50" s="14">
        <v>164476.19047615997</v>
      </c>
      <c r="BQ50" s="12">
        <f t="shared" si="128"/>
        <v>-1</v>
      </c>
      <c r="BR50" s="14">
        <f t="shared" si="129"/>
        <v>-80190.47619046006</v>
      </c>
      <c r="BS50" s="13">
        <f t="shared" si="130"/>
        <v>-0.32775398987932702</v>
      </c>
      <c r="BU50" s="16"/>
      <c r="BV50" s="15" t="s">
        <v>3</v>
      </c>
      <c r="BW50" s="12">
        <v>11</v>
      </c>
      <c r="BX50" s="14">
        <v>194380.95238090001</v>
      </c>
      <c r="BY50" s="12">
        <f t="shared" si="131"/>
        <v>3</v>
      </c>
      <c r="BZ50" s="14">
        <f t="shared" si="132"/>
        <v>29904.761904740037</v>
      </c>
      <c r="CA50" s="13">
        <f t="shared" si="133"/>
        <v>0.18181818181808257</v>
      </c>
      <c r="CC50" s="16"/>
      <c r="CD50" s="15" t="s">
        <v>3</v>
      </c>
      <c r="CE50" s="12">
        <v>13</v>
      </c>
      <c r="CF50" s="14">
        <v>239809.52380947999</v>
      </c>
      <c r="CG50" s="12">
        <f t="shared" si="134"/>
        <v>2</v>
      </c>
      <c r="CH50" s="14">
        <f t="shared" si="135"/>
        <v>45428.571428579977</v>
      </c>
      <c r="CI50" s="13">
        <f t="shared" si="136"/>
        <v>0.23370896619314957</v>
      </c>
      <c r="CK50" s="16"/>
      <c r="CL50" s="15" t="s">
        <v>3</v>
      </c>
      <c r="CM50" s="12">
        <v>14</v>
      </c>
      <c r="CN50" s="14">
        <v>249619.04761899001</v>
      </c>
      <c r="CO50" s="12">
        <f t="shared" si="137"/>
        <v>1</v>
      </c>
      <c r="CP50" s="14">
        <f t="shared" si="138"/>
        <v>9809.5238095100212</v>
      </c>
      <c r="CQ50" s="13">
        <f t="shared" si="139"/>
        <v>4.0905480540061177E-2</v>
      </c>
      <c r="CS50" s="16"/>
      <c r="CT50" s="15" t="s">
        <v>3</v>
      </c>
      <c r="CU50" s="12">
        <v>11</v>
      </c>
      <c r="CV50" s="14">
        <v>225619.04761901998</v>
      </c>
      <c r="CW50" s="12">
        <f t="shared" si="140"/>
        <v>-3</v>
      </c>
      <c r="CX50" s="14">
        <f t="shared" si="141"/>
        <v>-23999.999999970023</v>
      </c>
      <c r="CY50" s="13">
        <f t="shared" si="142"/>
        <v>-9.6146508965945593E-2</v>
      </c>
    </row>
    <row r="51" spans="1:103" s="12" customFormat="1" ht="20" customHeight="1">
      <c r="A51" s="16"/>
      <c r="B51" s="15" t="s">
        <v>2</v>
      </c>
      <c r="C51" s="12">
        <v>36</v>
      </c>
      <c r="D51" s="14">
        <v>1249428.5714285101</v>
      </c>
      <c r="F51" s="14"/>
      <c r="G51" s="13"/>
      <c r="I51" s="16"/>
      <c r="J51" s="15" t="s">
        <v>2</v>
      </c>
      <c r="K51" s="12">
        <v>66</v>
      </c>
      <c r="L51" s="14">
        <v>2515142.8571427804</v>
      </c>
      <c r="M51" s="12">
        <f t="shared" si="107"/>
        <v>30</v>
      </c>
      <c r="N51" s="14">
        <f t="shared" si="108"/>
        <v>1265714.2857142703</v>
      </c>
      <c r="O51" s="13">
        <f t="shared" si="109"/>
        <v>1.0130345300709269</v>
      </c>
      <c r="Q51" s="16"/>
      <c r="R51" s="15" t="s">
        <v>2</v>
      </c>
      <c r="S51" s="12">
        <v>37</v>
      </c>
      <c r="T51" s="14">
        <v>1435523.8095237301</v>
      </c>
      <c r="U51" s="12">
        <f t="shared" si="110"/>
        <v>-29</v>
      </c>
      <c r="V51" s="14">
        <f t="shared" si="111"/>
        <v>-1079619.0476190504</v>
      </c>
      <c r="W51" s="13">
        <f t="shared" si="112"/>
        <v>-0.42924760498316389</v>
      </c>
      <c r="Y51" s="16"/>
      <c r="Z51" s="15" t="s">
        <v>2</v>
      </c>
      <c r="AA51" s="12">
        <v>45</v>
      </c>
      <c r="AB51" s="14">
        <v>1797142.8571427898</v>
      </c>
      <c r="AC51" s="12">
        <f t="shared" si="113"/>
        <v>8</v>
      </c>
      <c r="AD51" s="14">
        <f t="shared" si="114"/>
        <v>361619.04761905968</v>
      </c>
      <c r="AE51" s="13">
        <f t="shared" si="115"/>
        <v>0.25190738406424312</v>
      </c>
      <c r="AG51" s="16"/>
      <c r="AH51" s="15" t="s">
        <v>2</v>
      </c>
      <c r="AI51" s="12">
        <v>30</v>
      </c>
      <c r="AJ51" s="14">
        <v>1163809.52380947</v>
      </c>
      <c r="AK51" s="12">
        <f t="shared" si="116"/>
        <v>-15</v>
      </c>
      <c r="AL51" s="14">
        <f t="shared" si="117"/>
        <v>-633333.33333331975</v>
      </c>
      <c r="AM51" s="13">
        <f t="shared" si="118"/>
        <v>-0.35241123476418162</v>
      </c>
      <c r="AO51" s="16"/>
      <c r="AP51" s="15" t="s">
        <v>2</v>
      </c>
      <c r="AQ51" s="12">
        <v>44</v>
      </c>
      <c r="AR51" s="14">
        <v>1710095.2380951699</v>
      </c>
      <c r="AS51" s="12">
        <f t="shared" si="119"/>
        <v>14</v>
      </c>
      <c r="AT51" s="14">
        <f t="shared" si="120"/>
        <v>546285.71428569988</v>
      </c>
      <c r="AU51" s="13">
        <f t="shared" si="121"/>
        <v>0.46939443535189146</v>
      </c>
      <c r="AW51" s="16"/>
      <c r="AX51" s="15" t="s">
        <v>2</v>
      </c>
      <c r="AY51" s="12">
        <v>39</v>
      </c>
      <c r="AZ51" s="14">
        <v>1431523.80952371</v>
      </c>
      <c r="BA51" s="12">
        <f t="shared" si="122"/>
        <v>-5</v>
      </c>
      <c r="BB51" s="14">
        <f t="shared" si="123"/>
        <v>-278571.42857145984</v>
      </c>
      <c r="BC51" s="13">
        <f t="shared" si="124"/>
        <v>-0.16289819558924287</v>
      </c>
      <c r="BE51" s="16"/>
      <c r="BF51" s="15" t="s">
        <v>2</v>
      </c>
      <c r="BG51" s="12">
        <v>21</v>
      </c>
      <c r="BH51" s="14">
        <v>783238.09523804986</v>
      </c>
      <c r="BI51" s="12">
        <f t="shared" si="125"/>
        <v>-18</v>
      </c>
      <c r="BJ51" s="14">
        <f t="shared" si="126"/>
        <v>-648285.71428566019</v>
      </c>
      <c r="BK51" s="13">
        <f t="shared" si="127"/>
        <v>-0.45286408089946811</v>
      </c>
      <c r="BL51" s="35"/>
      <c r="BM51" s="16"/>
      <c r="BN51" s="15" t="s">
        <v>2</v>
      </c>
      <c r="BO51" s="12">
        <v>32</v>
      </c>
      <c r="BP51" s="14">
        <v>1247904.7619046702</v>
      </c>
      <c r="BQ51" s="12">
        <f t="shared" si="128"/>
        <v>11</v>
      </c>
      <c r="BR51" s="14">
        <f t="shared" si="129"/>
        <v>464666.66666662029</v>
      </c>
      <c r="BS51" s="13">
        <f t="shared" si="130"/>
        <v>0.59326361867701793</v>
      </c>
      <c r="BU51" s="16"/>
      <c r="BV51" s="15" t="s">
        <v>2</v>
      </c>
      <c r="BW51" s="12">
        <v>31</v>
      </c>
      <c r="BX51" s="14">
        <v>1215619.04761897</v>
      </c>
      <c r="BY51" s="12">
        <f t="shared" si="131"/>
        <v>-1</v>
      </c>
      <c r="BZ51" s="14">
        <f t="shared" si="132"/>
        <v>-32285.714285700116</v>
      </c>
      <c r="CA51" s="13">
        <f t="shared" si="133"/>
        <v>-2.5871937724175849E-2</v>
      </c>
      <c r="CC51" s="16"/>
      <c r="CD51" s="15" t="s">
        <v>2</v>
      </c>
      <c r="CE51" s="12">
        <v>21</v>
      </c>
      <c r="CF51" s="14">
        <v>740380.95238088001</v>
      </c>
      <c r="CG51" s="12">
        <f t="shared" si="134"/>
        <v>-10</v>
      </c>
      <c r="CH51" s="14">
        <f t="shared" si="135"/>
        <v>-475238.09523809003</v>
      </c>
      <c r="CI51" s="13">
        <f t="shared" si="136"/>
        <v>-0.39094327796930928</v>
      </c>
      <c r="CK51" s="16"/>
      <c r="CL51" s="15" t="s">
        <v>2</v>
      </c>
      <c r="CM51" s="12">
        <v>14</v>
      </c>
      <c r="CN51" s="14">
        <v>526285.71428566996</v>
      </c>
      <c r="CO51" s="12">
        <f t="shared" si="137"/>
        <v>-7</v>
      </c>
      <c r="CP51" s="14">
        <f t="shared" si="138"/>
        <v>-214095.23809521005</v>
      </c>
      <c r="CQ51" s="13">
        <f t="shared" si="139"/>
        <v>-0.28916902495496849</v>
      </c>
      <c r="CS51" s="16"/>
      <c r="CT51" s="15" t="s">
        <v>2</v>
      </c>
      <c r="CU51" s="12">
        <v>9</v>
      </c>
      <c r="CV51" s="14">
        <v>354380.95238092006</v>
      </c>
      <c r="CW51" s="12">
        <f t="shared" si="140"/>
        <v>-5</v>
      </c>
      <c r="CX51" s="14">
        <f t="shared" si="141"/>
        <v>-171904.7619047499</v>
      </c>
      <c r="CY51" s="13">
        <f t="shared" si="142"/>
        <v>-0.32663771263120267</v>
      </c>
    </row>
    <row r="52" spans="1:103" s="1" customFormat="1" ht="20" customHeight="1">
      <c r="A52" s="11" t="s">
        <v>11</v>
      </c>
      <c r="B52" s="11"/>
      <c r="C52" s="10">
        <v>339</v>
      </c>
      <c r="D52" s="9">
        <v>2253882.3809515904</v>
      </c>
      <c r="E52" s="29"/>
      <c r="F52" s="30"/>
      <c r="G52" s="31"/>
      <c r="I52" s="11" t="s">
        <v>11</v>
      </c>
      <c r="J52" s="11"/>
      <c r="K52" s="10">
        <v>423</v>
      </c>
      <c r="L52" s="9">
        <v>3464003.3333324604</v>
      </c>
      <c r="M52" s="10">
        <f t="shared" si="107"/>
        <v>84</v>
      </c>
      <c r="N52" s="9">
        <f t="shared" si="108"/>
        <v>1210120.95238087</v>
      </c>
      <c r="O52" s="8">
        <f t="shared" si="109"/>
        <v>0.53690510321570384</v>
      </c>
      <c r="Q52" s="11" t="s">
        <v>11</v>
      </c>
      <c r="R52" s="11"/>
      <c r="S52" s="10">
        <v>304</v>
      </c>
      <c r="T52" s="9">
        <v>2253937.1428564</v>
      </c>
      <c r="U52" s="10">
        <f t="shared" si="110"/>
        <v>-119</v>
      </c>
      <c r="V52" s="9">
        <f t="shared" si="111"/>
        <v>-1210066.1904760604</v>
      </c>
      <c r="W52" s="8">
        <f t="shared" si="112"/>
        <v>-0.3493259313096404</v>
      </c>
      <c r="Y52" s="11" t="s">
        <v>11</v>
      </c>
      <c r="Z52" s="11"/>
      <c r="AA52" s="10">
        <v>301</v>
      </c>
      <c r="AB52" s="9">
        <v>2459479.0476183197</v>
      </c>
      <c r="AC52" s="10">
        <f t="shared" si="113"/>
        <v>-3</v>
      </c>
      <c r="AD52" s="9">
        <f t="shared" si="114"/>
        <v>205541.90476191975</v>
      </c>
      <c r="AE52" s="8">
        <f t="shared" si="115"/>
        <v>9.1192385472399565E-2</v>
      </c>
      <c r="AG52" s="11" t="s">
        <v>11</v>
      </c>
      <c r="AH52" s="11"/>
      <c r="AI52" s="10">
        <v>244</v>
      </c>
      <c r="AJ52" s="9">
        <v>1662192.3809517701</v>
      </c>
      <c r="AK52" s="10">
        <f t="shared" si="116"/>
        <v>-57</v>
      </c>
      <c r="AL52" s="9">
        <f t="shared" si="117"/>
        <v>-797286.66666654963</v>
      </c>
      <c r="AM52" s="8">
        <f t="shared" si="118"/>
        <v>-0.32416892001524322</v>
      </c>
      <c r="AO52" s="11" t="s">
        <v>11</v>
      </c>
      <c r="AP52" s="11"/>
      <c r="AQ52" s="10">
        <v>297</v>
      </c>
      <c r="AR52" s="9">
        <v>2410165.7142850999</v>
      </c>
      <c r="AS52" s="10">
        <f t="shared" si="119"/>
        <v>53</v>
      </c>
      <c r="AT52" s="9">
        <f t="shared" si="120"/>
        <v>747973.33333332976</v>
      </c>
      <c r="AU52" s="8">
        <f t="shared" si="121"/>
        <v>0.44999203576245533</v>
      </c>
      <c r="AW52" s="11" t="s">
        <v>11</v>
      </c>
      <c r="AX52" s="11"/>
      <c r="AY52" s="10">
        <v>280</v>
      </c>
      <c r="AZ52" s="9">
        <v>2262596.6666659899</v>
      </c>
      <c r="BA52" s="10">
        <f t="shared" si="122"/>
        <v>-17</v>
      </c>
      <c r="BB52" s="9">
        <f t="shared" si="123"/>
        <v>-147569.04761910997</v>
      </c>
      <c r="BC52" s="8">
        <f t="shared" si="124"/>
        <v>-6.1227759877449633E-2</v>
      </c>
      <c r="BE52" s="11" t="s">
        <v>11</v>
      </c>
      <c r="BF52" s="11"/>
      <c r="BG52" s="10">
        <v>258</v>
      </c>
      <c r="BH52" s="9">
        <v>1543276.1904755798</v>
      </c>
      <c r="BI52" s="10">
        <f t="shared" si="125"/>
        <v>-22</v>
      </c>
      <c r="BJ52" s="9">
        <f t="shared" si="126"/>
        <v>-719320.47619041009</v>
      </c>
      <c r="BK52" s="8">
        <f t="shared" si="127"/>
        <v>-0.31791811894178751</v>
      </c>
      <c r="BL52" s="37"/>
      <c r="BM52" s="11" t="s">
        <v>11</v>
      </c>
      <c r="BN52" s="11"/>
      <c r="BO52" s="10">
        <v>235</v>
      </c>
      <c r="BP52" s="9">
        <v>1840789.0476184001</v>
      </c>
      <c r="BQ52" s="10">
        <f t="shared" si="128"/>
        <v>-23</v>
      </c>
      <c r="BR52" s="9">
        <f t="shared" si="129"/>
        <v>297512.85714282026</v>
      </c>
      <c r="BS52" s="8">
        <f t="shared" si="130"/>
        <v>0.19278004739458721</v>
      </c>
      <c r="BU52" s="11" t="s">
        <v>11</v>
      </c>
      <c r="BV52" s="11"/>
      <c r="BW52" s="10">
        <v>258</v>
      </c>
      <c r="BX52" s="9">
        <v>1958365.7142850901</v>
      </c>
      <c r="BY52" s="10">
        <f t="shared" si="131"/>
        <v>23</v>
      </c>
      <c r="BZ52" s="9">
        <f t="shared" si="132"/>
        <v>117576.66666669003</v>
      </c>
      <c r="CA52" s="8">
        <f t="shared" si="133"/>
        <v>6.387297165789306E-2</v>
      </c>
      <c r="CC52" s="11" t="s">
        <v>11</v>
      </c>
      <c r="CD52" s="11"/>
      <c r="CE52" s="10">
        <v>298</v>
      </c>
      <c r="CF52" s="9">
        <v>1758505.2380945801</v>
      </c>
      <c r="CG52" s="10">
        <f t="shared" si="134"/>
        <v>40</v>
      </c>
      <c r="CH52" s="9">
        <f t="shared" si="135"/>
        <v>-199860.47619050997</v>
      </c>
      <c r="CI52" s="8">
        <f t="shared" si="136"/>
        <v>-0.1020547259036701</v>
      </c>
      <c r="CK52" s="11" t="s">
        <v>11</v>
      </c>
      <c r="CL52" s="11"/>
      <c r="CM52" s="10">
        <v>258</v>
      </c>
      <c r="CN52" s="9">
        <v>1386529.9999993402</v>
      </c>
      <c r="CO52" s="10">
        <f t="shared" si="137"/>
        <v>-40</v>
      </c>
      <c r="CP52" s="9">
        <f t="shared" si="138"/>
        <v>-371975.23809523997</v>
      </c>
      <c r="CQ52" s="8">
        <f t="shared" si="139"/>
        <v>-0.21152921813203807</v>
      </c>
      <c r="CS52" s="11" t="s">
        <v>11</v>
      </c>
      <c r="CT52" s="11"/>
      <c r="CU52" s="10">
        <v>193</v>
      </c>
      <c r="CV52" s="9">
        <v>1133570.4761900101</v>
      </c>
      <c r="CW52" s="10">
        <f t="shared" si="140"/>
        <v>-65</v>
      </c>
      <c r="CX52" s="9">
        <f t="shared" si="141"/>
        <v>-252959.52380933007</v>
      </c>
      <c r="CY52" s="8">
        <f t="shared" si="142"/>
        <v>-0.18244071445223001</v>
      </c>
    </row>
    <row r="53" spans="1:103" s="1" customFormat="1" ht="20" customHeight="1">
      <c r="A53" s="42">
        <v>84</v>
      </c>
      <c r="B53" s="34" t="s">
        <v>20</v>
      </c>
      <c r="C53" s="1">
        <v>0</v>
      </c>
      <c r="D53" s="41"/>
      <c r="E53" s="12"/>
      <c r="F53" s="14"/>
      <c r="G53" s="35"/>
      <c r="I53" s="42">
        <v>84</v>
      </c>
      <c r="J53" s="34" t="s">
        <v>20</v>
      </c>
      <c r="K53" s="1">
        <v>0</v>
      </c>
      <c r="L53" s="41"/>
      <c r="N53" s="41"/>
      <c r="O53" s="37"/>
      <c r="Q53" s="42">
        <v>84</v>
      </c>
      <c r="R53" s="34" t="s">
        <v>20</v>
      </c>
      <c r="S53" s="1">
        <v>0</v>
      </c>
      <c r="T53" s="41"/>
      <c r="V53" s="41"/>
      <c r="W53" s="37"/>
      <c r="Y53" s="42">
        <v>84</v>
      </c>
      <c r="Z53" s="34" t="s">
        <v>20</v>
      </c>
      <c r="AA53" s="1">
        <v>0</v>
      </c>
      <c r="AB53" s="41"/>
      <c r="AD53" s="41"/>
      <c r="AE53" s="37"/>
      <c r="AG53" s="42">
        <v>84</v>
      </c>
      <c r="AH53" s="34" t="s">
        <v>20</v>
      </c>
      <c r="AI53" s="1">
        <v>0</v>
      </c>
      <c r="AJ53" s="41"/>
      <c r="AL53" s="41"/>
      <c r="AM53" s="37"/>
      <c r="AO53" s="42">
        <v>84</v>
      </c>
      <c r="AP53" s="34" t="s">
        <v>20</v>
      </c>
      <c r="AQ53" s="1">
        <v>0</v>
      </c>
      <c r="AR53" s="41"/>
      <c r="AT53" s="41"/>
      <c r="AU53" s="37"/>
      <c r="AW53" s="42">
        <v>84</v>
      </c>
      <c r="AX53" s="34" t="s">
        <v>20</v>
      </c>
      <c r="AY53" s="1">
        <v>0</v>
      </c>
      <c r="AZ53" s="41"/>
      <c r="BB53" s="41"/>
      <c r="BC53" s="37"/>
      <c r="BE53" s="42">
        <v>84</v>
      </c>
      <c r="BF53" s="34" t="s">
        <v>20</v>
      </c>
      <c r="BG53" s="1">
        <v>0</v>
      </c>
      <c r="BH53" s="41"/>
      <c r="BJ53" s="41"/>
      <c r="BK53" s="37"/>
      <c r="BL53" s="37"/>
      <c r="BM53" s="42">
        <v>84</v>
      </c>
      <c r="BN53" s="34" t="s">
        <v>20</v>
      </c>
      <c r="BO53" s="1">
        <v>0</v>
      </c>
      <c r="BP53" s="41"/>
      <c r="BR53" s="41"/>
      <c r="BS53" s="37"/>
      <c r="BU53" s="42">
        <v>84</v>
      </c>
      <c r="BV53" s="34" t="s">
        <v>20</v>
      </c>
      <c r="BW53" s="41">
        <v>0</v>
      </c>
      <c r="BX53" s="41"/>
      <c r="BZ53" s="41"/>
      <c r="CA53" s="37"/>
      <c r="CC53" s="42">
        <v>84</v>
      </c>
      <c r="CD53" s="34" t="s">
        <v>20</v>
      </c>
      <c r="CE53" s="1">
        <v>0</v>
      </c>
      <c r="CF53" s="41"/>
      <c r="CG53" s="1">
        <f t="shared" si="134"/>
        <v>0</v>
      </c>
      <c r="CH53" s="41"/>
      <c r="CI53" s="37"/>
      <c r="CK53" s="42">
        <v>84</v>
      </c>
      <c r="CL53" s="34" t="s">
        <v>20</v>
      </c>
      <c r="CM53" s="1">
        <v>0</v>
      </c>
      <c r="CN53" s="41"/>
      <c r="CO53" s="1">
        <f t="shared" si="137"/>
        <v>0</v>
      </c>
      <c r="CP53" s="41"/>
      <c r="CQ53" s="37"/>
      <c r="CS53" s="42">
        <v>84</v>
      </c>
      <c r="CT53" s="34" t="s">
        <v>20</v>
      </c>
      <c r="CU53" s="1">
        <v>0</v>
      </c>
      <c r="CV53" s="41"/>
      <c r="CW53" s="1">
        <f t="shared" si="140"/>
        <v>0</v>
      </c>
      <c r="CX53" s="41"/>
      <c r="CY53" s="37"/>
    </row>
    <row r="54" spans="1:103" s="1" customFormat="1" ht="20" customHeight="1">
      <c r="A54" s="42"/>
      <c r="B54" s="34" t="s">
        <v>21</v>
      </c>
      <c r="C54" s="1">
        <v>0</v>
      </c>
      <c r="D54" s="41"/>
      <c r="E54" s="12"/>
      <c r="F54" s="14"/>
      <c r="G54" s="35"/>
      <c r="I54" s="42"/>
      <c r="J54" s="34" t="s">
        <v>21</v>
      </c>
      <c r="K54" s="1">
        <v>0</v>
      </c>
      <c r="L54" s="41"/>
      <c r="N54" s="41"/>
      <c r="O54" s="37"/>
      <c r="Q54" s="42"/>
      <c r="R54" s="34" t="s">
        <v>21</v>
      </c>
      <c r="S54" s="1">
        <v>0</v>
      </c>
      <c r="T54" s="41"/>
      <c r="V54" s="41"/>
      <c r="W54" s="37"/>
      <c r="Y54" s="42"/>
      <c r="Z54" s="34" t="s">
        <v>21</v>
      </c>
      <c r="AA54" s="1">
        <v>0</v>
      </c>
      <c r="AB54" s="41"/>
      <c r="AD54" s="41"/>
      <c r="AE54" s="37"/>
      <c r="AG54" s="42"/>
      <c r="AH54" s="34" t="s">
        <v>21</v>
      </c>
      <c r="AI54" s="1">
        <v>0</v>
      </c>
      <c r="AJ54" s="41"/>
      <c r="AL54" s="41"/>
      <c r="AM54" s="37"/>
      <c r="AO54" s="42"/>
      <c r="AP54" s="34" t="s">
        <v>21</v>
      </c>
      <c r="AQ54" s="1">
        <v>0</v>
      </c>
      <c r="AR54" s="41"/>
      <c r="AT54" s="41"/>
      <c r="AU54" s="37"/>
      <c r="AW54" s="42"/>
      <c r="AX54" s="34" t="s">
        <v>21</v>
      </c>
      <c r="AY54" s="1">
        <v>0</v>
      </c>
      <c r="AZ54" s="41"/>
      <c r="BB54" s="41"/>
      <c r="BC54" s="37"/>
      <c r="BE54" s="42"/>
      <c r="BF54" s="34" t="s">
        <v>21</v>
      </c>
      <c r="BG54" s="1">
        <v>0</v>
      </c>
      <c r="BH54" s="41"/>
      <c r="BJ54" s="41"/>
      <c r="BK54" s="37"/>
      <c r="BL54" s="37"/>
      <c r="BM54" s="42"/>
      <c r="BN54" s="34" t="s">
        <v>21</v>
      </c>
      <c r="BO54" s="1">
        <v>0</v>
      </c>
      <c r="BP54" s="41"/>
      <c r="BR54" s="41"/>
      <c r="BS54" s="37"/>
      <c r="BU54" s="42"/>
      <c r="BV54" s="34" t="s">
        <v>21</v>
      </c>
      <c r="BW54" s="41">
        <v>0</v>
      </c>
      <c r="BX54" s="41"/>
      <c r="BZ54" s="41"/>
      <c r="CA54" s="37"/>
      <c r="CC54" s="42"/>
      <c r="CD54" s="34" t="s">
        <v>21</v>
      </c>
      <c r="CE54" s="1">
        <v>0</v>
      </c>
      <c r="CF54" s="41"/>
      <c r="CG54" s="1">
        <f t="shared" si="134"/>
        <v>0</v>
      </c>
      <c r="CH54" s="41"/>
      <c r="CI54" s="37"/>
      <c r="CK54" s="42"/>
      <c r="CL54" s="34" t="s">
        <v>21</v>
      </c>
      <c r="CM54" s="1">
        <v>0</v>
      </c>
      <c r="CN54" s="41"/>
      <c r="CO54" s="1">
        <f t="shared" si="137"/>
        <v>0</v>
      </c>
      <c r="CP54" s="41"/>
      <c r="CQ54" s="37"/>
      <c r="CS54" s="42"/>
      <c r="CT54" s="34" t="s">
        <v>21</v>
      </c>
      <c r="CU54" s="1">
        <v>0</v>
      </c>
      <c r="CV54" s="41"/>
      <c r="CW54" s="1">
        <f t="shared" si="140"/>
        <v>0</v>
      </c>
      <c r="CX54" s="41"/>
      <c r="CY54" s="37"/>
    </row>
    <row r="55" spans="1:103" s="12" customFormat="1" ht="20" customHeight="1">
      <c r="A55" s="42"/>
      <c r="B55" s="15" t="s">
        <v>10</v>
      </c>
      <c r="C55" s="12">
        <v>238</v>
      </c>
      <c r="D55" s="14">
        <v>231479.04761827976</v>
      </c>
      <c r="F55" s="14"/>
      <c r="G55" s="13"/>
      <c r="I55" s="42"/>
      <c r="J55" s="15" t="s">
        <v>10</v>
      </c>
      <c r="K55" s="12">
        <v>276</v>
      </c>
      <c r="L55" s="14">
        <v>256029.52380876968</v>
      </c>
      <c r="M55" s="12">
        <f t="shared" ref="M55:M65" si="143">K55-C55</f>
        <v>38</v>
      </c>
      <c r="N55" s="14">
        <f t="shared" ref="N55:N65" si="144">L55-D55</f>
        <v>24550.476190489921</v>
      </c>
      <c r="O55" s="13">
        <f t="shared" ref="O55:O65" si="145">(L55-D55)/D55</f>
        <v>0.10605917227970824</v>
      </c>
      <c r="Q55" s="42"/>
      <c r="R55" s="15" t="s">
        <v>10</v>
      </c>
      <c r="S55" s="12">
        <v>201</v>
      </c>
      <c r="T55" s="14">
        <v>195440.95238026991</v>
      </c>
      <c r="U55" s="12">
        <f t="shared" ref="U55:U65" si="146">S55-K55</f>
        <v>-75</v>
      </c>
      <c r="V55" s="14">
        <f t="shared" ref="V55:V65" si="147">T55-L55</f>
        <v>-60588.571428499767</v>
      </c>
      <c r="W55" s="13">
        <f t="shared" ref="W55:W65" si="148">(T55-L55)/L55</f>
        <v>-0.23664681528585668</v>
      </c>
      <c r="Y55" s="42"/>
      <c r="Z55" s="15" t="s">
        <v>10</v>
      </c>
      <c r="AA55" s="12">
        <v>196</v>
      </c>
      <c r="AB55" s="14">
        <v>210343.80952311988</v>
      </c>
      <c r="AC55" s="12">
        <f t="shared" ref="AC55:AC65" si="149">AA55-S55</f>
        <v>-5</v>
      </c>
      <c r="AD55" s="14">
        <f t="shared" ref="AD55:AD65" si="150">AB55-T55</f>
        <v>14902.857142849971</v>
      </c>
      <c r="AE55" s="13">
        <f t="shared" ref="AE55:AE65" si="151">(AB55-T55)/T55</f>
        <v>7.6252479131668618E-2</v>
      </c>
      <c r="AG55" s="42"/>
      <c r="AH55" s="15" t="s">
        <v>10</v>
      </c>
      <c r="AI55" s="12">
        <v>118</v>
      </c>
      <c r="AJ55" s="14">
        <v>118734.28571382003</v>
      </c>
      <c r="AK55" s="12">
        <f t="shared" ref="AK55:AK65" si="152">AI55-AA55</f>
        <v>-78</v>
      </c>
      <c r="AL55" s="14">
        <f t="shared" ref="AL55:AL65" si="153">AJ55-AB55</f>
        <v>-91609.523809299848</v>
      </c>
      <c r="AM55" s="13">
        <f t="shared" ref="AM55:AM65" si="154">(AJ55-AB55)/AB55</f>
        <v>-0.43552279488040085</v>
      </c>
      <c r="AO55" s="42"/>
      <c r="AP55" s="15" t="s">
        <v>10</v>
      </c>
      <c r="AQ55" s="12">
        <v>120</v>
      </c>
      <c r="AR55" s="14">
        <v>115145.71428527001</v>
      </c>
      <c r="AS55" s="12">
        <f t="shared" ref="AS55:AS65" si="155">AQ55-AI55</f>
        <v>2</v>
      </c>
      <c r="AT55" s="14">
        <f t="shared" ref="AT55:AT65" si="156">AR55-AJ55</f>
        <v>-3588.5714285500289</v>
      </c>
      <c r="AU55" s="13">
        <f t="shared" ref="AU55:AU65" si="157">(AR55-AJ55)/AJ55</f>
        <v>-3.0223548379272713E-2</v>
      </c>
      <c r="AW55" s="42"/>
      <c r="AX55" s="15" t="s">
        <v>10</v>
      </c>
      <c r="AY55" s="12">
        <v>148</v>
      </c>
      <c r="AZ55" s="14">
        <v>163397.14285665005</v>
      </c>
      <c r="BA55" s="12">
        <f t="shared" ref="BA55:BA65" si="158">AY55-AQ55</f>
        <v>28</v>
      </c>
      <c r="BB55" s="14">
        <f t="shared" ref="BB55:BB65" si="159">AZ55-AR55</f>
        <v>48251.428571380049</v>
      </c>
      <c r="BC55" s="13">
        <f t="shared" ref="BC55:BC65" si="160">(AZ55-AR55)/AR55</f>
        <v>0.41904667378100241</v>
      </c>
      <c r="BE55" s="42"/>
      <c r="BF55" s="15" t="s">
        <v>10</v>
      </c>
      <c r="BG55" s="12">
        <v>136</v>
      </c>
      <c r="BH55" s="14">
        <v>138248.57142807994</v>
      </c>
      <c r="BI55" s="12">
        <f t="shared" ref="BI55:BI65" si="161">BG55-AY55</f>
        <v>-12</v>
      </c>
      <c r="BJ55" s="14">
        <f t="shared" ref="BJ55:BJ65" si="162">BH55-AZ55</f>
        <v>-25148.571428570111</v>
      </c>
      <c r="BK55" s="13">
        <f t="shared" ref="BK55:BK65" si="163">(BH55-AZ55)/AZ55</f>
        <v>-0.15391071709640114</v>
      </c>
      <c r="BL55" s="35"/>
      <c r="BM55" s="42"/>
      <c r="BN55" s="15" t="s">
        <v>10</v>
      </c>
      <c r="BO55" s="12">
        <v>110</v>
      </c>
      <c r="BP55" s="14">
        <v>109671.42857105</v>
      </c>
      <c r="BQ55" s="12">
        <f t="shared" ref="BQ55:BQ65" si="164">BO55-BG55</f>
        <v>-26</v>
      </c>
      <c r="BR55" s="14">
        <f t="shared" ref="BR55:BR65" si="165">BP55-BH55</f>
        <v>-28577.142857029947</v>
      </c>
      <c r="BS55" s="13">
        <f t="shared" ref="BS55:BS65" si="166">(BP55-BH55)/BH55</f>
        <v>-0.20670841341674498</v>
      </c>
      <c r="BU55" s="42"/>
      <c r="BV55" s="15" t="s">
        <v>10</v>
      </c>
      <c r="BW55" s="12">
        <v>125</v>
      </c>
      <c r="BX55" s="14">
        <v>114475.23809483997</v>
      </c>
      <c r="BY55" s="12">
        <f t="shared" ref="BY55:BY65" si="167">BW55-BO55</f>
        <v>15</v>
      </c>
      <c r="BZ55" s="14">
        <f t="shared" ref="BZ55:BZ65" si="168">BX55-BP55</f>
        <v>4803.8095237899688</v>
      </c>
      <c r="CA55" s="13">
        <f t="shared" ref="CA55:CA65" si="169">(BX55-BP55)/BP55</f>
        <v>4.3801832312942372E-2</v>
      </c>
      <c r="CC55" s="42"/>
      <c r="CD55" s="15" t="s">
        <v>10</v>
      </c>
      <c r="CE55" s="12">
        <v>118</v>
      </c>
      <c r="CF55" s="14">
        <v>109003.80952334002</v>
      </c>
      <c r="CG55" s="12">
        <f t="shared" ref="CG55:CG65" si="170">CE55-BW55</f>
        <v>-7</v>
      </c>
      <c r="CH55" s="14">
        <f t="shared" ref="CH55:CH65" si="171">CF55-BX55</f>
        <v>-5471.4285714999423</v>
      </c>
      <c r="CI55" s="13">
        <f t="shared" ref="CI55:CI65" si="172">(CF55-BX55)/BX55</f>
        <v>-4.7795738734057021E-2</v>
      </c>
      <c r="CK55" s="42"/>
      <c r="CL55" s="15" t="s">
        <v>10</v>
      </c>
      <c r="CM55" s="12">
        <v>115</v>
      </c>
      <c r="CN55" s="14">
        <v>105408.57142817996</v>
      </c>
      <c r="CO55" s="12">
        <f t="shared" ref="CO55:CO65" si="173">CM55-CE55</f>
        <v>-3</v>
      </c>
      <c r="CP55" s="14">
        <f t="shared" ref="CP55:CP65" si="174">CN55-CF55</f>
        <v>-3595.2380951600644</v>
      </c>
      <c r="CQ55" s="13">
        <f t="shared" ref="CQ55:CQ65" si="175">(CN55-CF55)/CF55</f>
        <v>-3.2982682998709767E-2</v>
      </c>
      <c r="CS55" s="42"/>
      <c r="CT55" s="15" t="s">
        <v>10</v>
      </c>
      <c r="CU55" s="12">
        <v>130</v>
      </c>
      <c r="CV55" s="14">
        <v>129844.76190430003</v>
      </c>
      <c r="CW55" s="12">
        <f t="shared" ref="CW55:CW65" si="176">CU55-CM55</f>
        <v>15</v>
      </c>
      <c r="CX55" s="14">
        <f t="shared" ref="CX55:CX65" si="177">CV55-CN55</f>
        <v>24436.190476120071</v>
      </c>
      <c r="CY55" s="13">
        <f t="shared" ref="CY55:CY65" si="178">(CV55-CN55)/CN55</f>
        <v>0.23182356183215755</v>
      </c>
    </row>
    <row r="56" spans="1:103" s="12" customFormat="1" ht="20" customHeight="1">
      <c r="A56" s="42"/>
      <c r="B56" s="15" t="s">
        <v>9</v>
      </c>
      <c r="C56" s="12">
        <v>110</v>
      </c>
      <c r="D56" s="14">
        <v>127152.38095224001</v>
      </c>
      <c r="F56" s="14"/>
      <c r="G56" s="13"/>
      <c r="I56" s="42"/>
      <c r="J56" s="15" t="s">
        <v>9</v>
      </c>
      <c r="K56" s="12">
        <v>172</v>
      </c>
      <c r="L56" s="14">
        <v>252830.47619026995</v>
      </c>
      <c r="M56" s="12">
        <f t="shared" si="143"/>
        <v>62</v>
      </c>
      <c r="N56" s="14">
        <f t="shared" si="144"/>
        <v>125678.09523802994</v>
      </c>
      <c r="O56" s="13">
        <f t="shared" si="145"/>
        <v>0.98840536289474734</v>
      </c>
      <c r="Q56" s="42"/>
      <c r="R56" s="15" t="s">
        <v>9</v>
      </c>
      <c r="S56" s="12">
        <v>138</v>
      </c>
      <c r="T56" s="14">
        <v>140153.33333324004</v>
      </c>
      <c r="U56" s="12">
        <f t="shared" si="146"/>
        <v>-34</v>
      </c>
      <c r="V56" s="14">
        <f t="shared" si="147"/>
        <v>-112677.14285702992</v>
      </c>
      <c r="W56" s="13">
        <f t="shared" si="148"/>
        <v>-0.44566281943096792</v>
      </c>
      <c r="Y56" s="42"/>
      <c r="Z56" s="15" t="s">
        <v>9</v>
      </c>
      <c r="AA56" s="12">
        <v>89</v>
      </c>
      <c r="AB56" s="14">
        <v>72563.809523720003</v>
      </c>
      <c r="AC56" s="12">
        <f t="shared" si="149"/>
        <v>-49</v>
      </c>
      <c r="AD56" s="14">
        <f t="shared" si="150"/>
        <v>-67589.523809520033</v>
      </c>
      <c r="AE56" s="13">
        <f t="shared" si="151"/>
        <v>-0.48225412983088778</v>
      </c>
      <c r="AG56" s="42"/>
      <c r="AH56" s="15" t="s">
        <v>9</v>
      </c>
      <c r="AI56" s="12">
        <v>97</v>
      </c>
      <c r="AJ56" s="14">
        <v>98980.952380839997</v>
      </c>
      <c r="AK56" s="12">
        <f t="shared" si="152"/>
        <v>8</v>
      </c>
      <c r="AL56" s="14">
        <f t="shared" si="153"/>
        <v>26417.142857119994</v>
      </c>
      <c r="AM56" s="13">
        <f t="shared" si="154"/>
        <v>0.36405396892075564</v>
      </c>
      <c r="AO56" s="42"/>
      <c r="AP56" s="15" t="s">
        <v>9</v>
      </c>
      <c r="AQ56" s="12">
        <v>92</v>
      </c>
      <c r="AR56" s="14">
        <v>84268.571428470023</v>
      </c>
      <c r="AS56" s="12">
        <f t="shared" si="155"/>
        <v>-5</v>
      </c>
      <c r="AT56" s="14">
        <f t="shared" si="156"/>
        <v>-14712.380952369975</v>
      </c>
      <c r="AU56" s="13">
        <f t="shared" si="157"/>
        <v>-0.14863850668725115</v>
      </c>
      <c r="AW56" s="42"/>
      <c r="AX56" s="15" t="s">
        <v>9</v>
      </c>
      <c r="AY56" s="12">
        <v>124</v>
      </c>
      <c r="AZ56" s="14">
        <v>135114.28571416999</v>
      </c>
      <c r="BA56" s="12">
        <f t="shared" si="158"/>
        <v>32</v>
      </c>
      <c r="BB56" s="14">
        <f t="shared" si="159"/>
        <v>50845.714285699971</v>
      </c>
      <c r="BC56" s="13">
        <f t="shared" si="160"/>
        <v>0.60337695802591729</v>
      </c>
      <c r="BE56" s="42"/>
      <c r="BF56" s="15" t="s">
        <v>9</v>
      </c>
      <c r="BG56" s="12">
        <v>86</v>
      </c>
      <c r="BH56" s="14">
        <v>80333.333333220013</v>
      </c>
      <c r="BI56" s="12">
        <f t="shared" si="161"/>
        <v>-38</v>
      </c>
      <c r="BJ56" s="14">
        <f t="shared" si="162"/>
        <v>-54780.952380949981</v>
      </c>
      <c r="BK56" s="13">
        <f t="shared" si="163"/>
        <v>-0.40544160146646047</v>
      </c>
      <c r="BL56" s="35"/>
      <c r="BM56" s="42"/>
      <c r="BN56" s="15" t="s">
        <v>9</v>
      </c>
      <c r="BO56" s="12">
        <v>88</v>
      </c>
      <c r="BP56" s="14">
        <v>90696.190476100004</v>
      </c>
      <c r="BQ56" s="12">
        <f t="shared" si="164"/>
        <v>2</v>
      </c>
      <c r="BR56" s="14">
        <f t="shared" si="165"/>
        <v>10362.857142879991</v>
      </c>
      <c r="BS56" s="13">
        <f t="shared" si="166"/>
        <v>0.12899822169578351</v>
      </c>
      <c r="BU56" s="42"/>
      <c r="BV56" s="15" t="s">
        <v>9</v>
      </c>
      <c r="BW56" s="12">
        <v>85</v>
      </c>
      <c r="BX56" s="14">
        <v>94647.619047499989</v>
      </c>
      <c r="BY56" s="12">
        <f t="shared" si="167"/>
        <v>-3</v>
      </c>
      <c r="BZ56" s="14">
        <f t="shared" si="168"/>
        <v>3951.4285713999852</v>
      </c>
      <c r="CA56" s="13">
        <f t="shared" si="169"/>
        <v>4.3567745796790153E-2</v>
      </c>
      <c r="CC56" s="42"/>
      <c r="CD56" s="15" t="s">
        <v>9</v>
      </c>
      <c r="CE56" s="12">
        <v>101</v>
      </c>
      <c r="CF56" s="14">
        <v>99333.333333200004</v>
      </c>
      <c r="CG56" s="12">
        <f t="shared" si="170"/>
        <v>16</v>
      </c>
      <c r="CH56" s="14">
        <f t="shared" si="171"/>
        <v>4685.7142857000144</v>
      </c>
      <c r="CI56" s="13">
        <f t="shared" si="172"/>
        <v>4.9506943046802213E-2</v>
      </c>
      <c r="CK56" s="42"/>
      <c r="CL56" s="15" t="s">
        <v>9</v>
      </c>
      <c r="CM56" s="12">
        <v>90</v>
      </c>
      <c r="CN56" s="14">
        <v>79342.857142740002</v>
      </c>
      <c r="CO56" s="12">
        <f t="shared" si="173"/>
        <v>-11</v>
      </c>
      <c r="CP56" s="14">
        <f t="shared" si="174"/>
        <v>-19990.476190460002</v>
      </c>
      <c r="CQ56" s="13">
        <f t="shared" si="175"/>
        <v>-0.20124640460221646</v>
      </c>
      <c r="CS56" s="42"/>
      <c r="CT56" s="15" t="s">
        <v>9</v>
      </c>
      <c r="CU56" s="12">
        <v>73</v>
      </c>
      <c r="CV56" s="14">
        <v>93678.095237949994</v>
      </c>
      <c r="CW56" s="12">
        <f t="shared" si="176"/>
        <v>-17</v>
      </c>
      <c r="CX56" s="14">
        <f t="shared" si="177"/>
        <v>14335.238095209992</v>
      </c>
      <c r="CY56" s="13">
        <f t="shared" si="178"/>
        <v>0.18067458888480031</v>
      </c>
    </row>
    <row r="57" spans="1:103" s="12" customFormat="1" ht="20" customHeight="1">
      <c r="A57" s="42"/>
      <c r="B57" s="15" t="s">
        <v>8</v>
      </c>
      <c r="C57" s="12">
        <v>23</v>
      </c>
      <c r="D57" s="14">
        <v>144257.14285711999</v>
      </c>
      <c r="F57" s="14"/>
      <c r="G57" s="13"/>
      <c r="I57" s="42"/>
      <c r="J57" s="15" t="s">
        <v>8</v>
      </c>
      <c r="K57" s="12">
        <v>15</v>
      </c>
      <c r="L57" s="14">
        <v>101000</v>
      </c>
      <c r="M57" s="12">
        <f t="shared" si="143"/>
        <v>-8</v>
      </c>
      <c r="N57" s="14">
        <f t="shared" si="144"/>
        <v>-43257.142857119994</v>
      </c>
      <c r="O57" s="13">
        <f t="shared" si="145"/>
        <v>-0.29986135868477715</v>
      </c>
      <c r="Q57" s="42"/>
      <c r="R57" s="15" t="s">
        <v>8</v>
      </c>
      <c r="S57" s="12">
        <v>14</v>
      </c>
      <c r="T57" s="14">
        <v>109010.47619047</v>
      </c>
      <c r="U57" s="12">
        <f t="shared" si="146"/>
        <v>-1</v>
      </c>
      <c r="V57" s="14">
        <f t="shared" si="147"/>
        <v>8010.476190469999</v>
      </c>
      <c r="W57" s="13">
        <f t="shared" si="148"/>
        <v>7.9311645450198004E-2</v>
      </c>
      <c r="Y57" s="42"/>
      <c r="Z57" s="15" t="s">
        <v>8</v>
      </c>
      <c r="AA57" s="12">
        <v>7</v>
      </c>
      <c r="AB57" s="14">
        <v>79933.333333329996</v>
      </c>
      <c r="AC57" s="12">
        <f t="shared" si="149"/>
        <v>-7</v>
      </c>
      <c r="AD57" s="14">
        <f t="shared" si="150"/>
        <v>-29077.142857140003</v>
      </c>
      <c r="AE57" s="13">
        <f t="shared" si="151"/>
        <v>-0.26673714190858666</v>
      </c>
      <c r="AG57" s="42"/>
      <c r="AH57" s="15" t="s">
        <v>8</v>
      </c>
      <c r="AI57" s="12">
        <v>9</v>
      </c>
      <c r="AJ57" s="14">
        <v>94199.999999990003</v>
      </c>
      <c r="AK57" s="12">
        <f t="shared" si="152"/>
        <v>2</v>
      </c>
      <c r="AL57" s="14">
        <f t="shared" si="153"/>
        <v>14266.666666660007</v>
      </c>
      <c r="AM57" s="13">
        <f t="shared" si="154"/>
        <v>0.17848206839024941</v>
      </c>
      <c r="AO57" s="42"/>
      <c r="AP57" s="15" t="s">
        <v>8</v>
      </c>
      <c r="AQ57" s="12">
        <v>8</v>
      </c>
      <c r="AR57" s="14">
        <v>77066.666666659992</v>
      </c>
      <c r="AS57" s="12">
        <f t="shared" si="155"/>
        <v>-1</v>
      </c>
      <c r="AT57" s="14">
        <f t="shared" si="156"/>
        <v>-17133.333333330011</v>
      </c>
      <c r="AU57" s="13">
        <f t="shared" si="157"/>
        <v>-0.18188251946212133</v>
      </c>
      <c r="AW57" s="42"/>
      <c r="AX57" s="15" t="s">
        <v>8</v>
      </c>
      <c r="AY57" s="12">
        <v>13</v>
      </c>
      <c r="AZ57" s="14">
        <v>102733.33333333</v>
      </c>
      <c r="BA57" s="12">
        <f t="shared" si="158"/>
        <v>5</v>
      </c>
      <c r="BB57" s="14">
        <f t="shared" si="159"/>
        <v>25666.666666670004</v>
      </c>
      <c r="BC57" s="13">
        <f t="shared" si="160"/>
        <v>0.3330449826990341</v>
      </c>
      <c r="BE57" s="42"/>
      <c r="BF57" s="15" t="s">
        <v>8</v>
      </c>
      <c r="BG57" s="12">
        <v>5</v>
      </c>
      <c r="BH57" s="14">
        <v>45666.666666659999</v>
      </c>
      <c r="BI57" s="12">
        <f t="shared" si="161"/>
        <v>-8</v>
      </c>
      <c r="BJ57" s="14">
        <f t="shared" si="162"/>
        <v>-57066.666666669997</v>
      </c>
      <c r="BK57" s="13">
        <f t="shared" si="163"/>
        <v>-0.5554834523037494</v>
      </c>
      <c r="BL57" s="35"/>
      <c r="BM57" s="42"/>
      <c r="BN57" s="15" t="s">
        <v>8</v>
      </c>
      <c r="BO57" s="12">
        <v>8</v>
      </c>
      <c r="BP57" s="14">
        <v>77066.666666659992</v>
      </c>
      <c r="BQ57" s="12">
        <f t="shared" si="164"/>
        <v>3</v>
      </c>
      <c r="BR57" s="14">
        <f t="shared" si="165"/>
        <v>31399.999999999993</v>
      </c>
      <c r="BS57" s="13">
        <f t="shared" si="166"/>
        <v>0.68759124087601264</v>
      </c>
      <c r="BU57" s="42"/>
      <c r="BV57" s="15" t="s">
        <v>8</v>
      </c>
      <c r="BW57" s="12">
        <v>38</v>
      </c>
      <c r="BX57" s="14">
        <v>222210.47619045997</v>
      </c>
      <c r="BY57" s="12">
        <f t="shared" si="167"/>
        <v>30</v>
      </c>
      <c r="BZ57" s="14">
        <f t="shared" si="168"/>
        <v>145143.80952379998</v>
      </c>
      <c r="CA57" s="13">
        <f t="shared" si="169"/>
        <v>1.8833539298072564</v>
      </c>
      <c r="CC57" s="42"/>
      <c r="CD57" s="15" t="s">
        <v>8</v>
      </c>
      <c r="CE57" s="12">
        <v>61</v>
      </c>
      <c r="CF57" s="14">
        <v>347705.7142857</v>
      </c>
      <c r="CG57" s="12">
        <f t="shared" si="170"/>
        <v>23</v>
      </c>
      <c r="CH57" s="14">
        <f t="shared" si="171"/>
        <v>125495.23809524003</v>
      </c>
      <c r="CI57" s="13">
        <f t="shared" si="172"/>
        <v>0.56475842294526268</v>
      </c>
      <c r="CK57" s="42"/>
      <c r="CL57" s="15" t="s">
        <v>8</v>
      </c>
      <c r="CM57" s="12">
        <v>25</v>
      </c>
      <c r="CN57" s="14">
        <v>146904.76190474001</v>
      </c>
      <c r="CO57" s="12">
        <f t="shared" si="173"/>
        <v>-36</v>
      </c>
      <c r="CP57" s="14">
        <f t="shared" si="174"/>
        <v>-200800.95238095999</v>
      </c>
      <c r="CQ57" s="13">
        <f t="shared" si="175"/>
        <v>-0.57750259524342329</v>
      </c>
      <c r="CS57" s="42"/>
      <c r="CT57" s="15" t="s">
        <v>8</v>
      </c>
      <c r="CU57" s="12">
        <v>42</v>
      </c>
      <c r="CV57" s="14">
        <v>245314.28571427002</v>
      </c>
      <c r="CW57" s="12">
        <f t="shared" si="176"/>
        <v>17</v>
      </c>
      <c r="CX57" s="14">
        <f t="shared" si="177"/>
        <v>98409.523809530016</v>
      </c>
      <c r="CY57" s="13">
        <f t="shared" si="178"/>
        <v>0.66988654781213564</v>
      </c>
    </row>
    <row r="58" spans="1:103" s="12" customFormat="1" ht="20" customHeight="1">
      <c r="A58" s="16"/>
      <c r="B58" s="15" t="s">
        <v>7</v>
      </c>
      <c r="C58" s="12">
        <v>30</v>
      </c>
      <c r="D58" s="14">
        <v>372380.95238089003</v>
      </c>
      <c r="F58" s="14"/>
      <c r="G58" s="13"/>
      <c r="I58" s="16"/>
      <c r="J58" s="15" t="s">
        <v>7</v>
      </c>
      <c r="K58" s="12">
        <v>32</v>
      </c>
      <c r="L58" s="14">
        <v>411619.04761896003</v>
      </c>
      <c r="M58" s="12">
        <f t="shared" si="143"/>
        <v>2</v>
      </c>
      <c r="N58" s="14">
        <f t="shared" si="144"/>
        <v>39238.095238070004</v>
      </c>
      <c r="O58" s="13">
        <f t="shared" si="145"/>
        <v>0.1053708439897197</v>
      </c>
      <c r="Q58" s="16"/>
      <c r="R58" s="15" t="s">
        <v>7</v>
      </c>
      <c r="S58" s="12">
        <v>23</v>
      </c>
      <c r="T58" s="14">
        <v>286380.95238089003</v>
      </c>
      <c r="U58" s="12">
        <f t="shared" si="146"/>
        <v>-9</v>
      </c>
      <c r="V58" s="14">
        <f t="shared" si="147"/>
        <v>-125238.09523807</v>
      </c>
      <c r="W58" s="13">
        <f t="shared" si="148"/>
        <v>-0.30425728829246063</v>
      </c>
      <c r="Y58" s="16"/>
      <c r="Z58" s="15" t="s">
        <v>7</v>
      </c>
      <c r="AA58" s="12">
        <v>8</v>
      </c>
      <c r="AB58" s="14">
        <v>105714.28571426001</v>
      </c>
      <c r="AC58" s="12">
        <f t="shared" si="149"/>
        <v>-15</v>
      </c>
      <c r="AD58" s="14">
        <f t="shared" si="150"/>
        <v>-180666.66666663002</v>
      </c>
      <c r="AE58" s="13">
        <f t="shared" si="151"/>
        <v>-0.63086132357832658</v>
      </c>
      <c r="AG58" s="16"/>
      <c r="AH58" s="15" t="s">
        <v>7</v>
      </c>
      <c r="AI58" s="12">
        <v>11</v>
      </c>
      <c r="AJ58" s="14">
        <v>132857.14285710003</v>
      </c>
      <c r="AK58" s="12">
        <f t="shared" si="152"/>
        <v>3</v>
      </c>
      <c r="AL58" s="14">
        <f t="shared" si="153"/>
        <v>27142.857142840017</v>
      </c>
      <c r="AM58" s="13">
        <f t="shared" si="154"/>
        <v>0.25675675675665721</v>
      </c>
      <c r="AO58" s="16"/>
      <c r="AP58" s="15" t="s">
        <v>7</v>
      </c>
      <c r="AQ58" s="12">
        <v>14</v>
      </c>
      <c r="AR58" s="14">
        <v>183428.57142853001</v>
      </c>
      <c r="AS58" s="12">
        <f t="shared" si="155"/>
        <v>3</v>
      </c>
      <c r="AT58" s="14">
        <f t="shared" si="156"/>
        <v>50571.428571429977</v>
      </c>
      <c r="AU58" s="13">
        <f t="shared" si="157"/>
        <v>0.38064516129045589</v>
      </c>
      <c r="AW58" s="16"/>
      <c r="AX58" s="15" t="s">
        <v>7</v>
      </c>
      <c r="AY58" s="12">
        <v>15</v>
      </c>
      <c r="AZ58" s="14">
        <v>197428.57142852002</v>
      </c>
      <c r="BA58" s="12">
        <f t="shared" si="158"/>
        <v>1</v>
      </c>
      <c r="BB58" s="14">
        <f t="shared" si="159"/>
        <v>13999.999999990017</v>
      </c>
      <c r="BC58" s="13">
        <f t="shared" si="160"/>
        <v>7.6323987538903626E-2</v>
      </c>
      <c r="BE58" s="16"/>
      <c r="BF58" s="15" t="s">
        <v>7</v>
      </c>
      <c r="BG58" s="12">
        <v>7</v>
      </c>
      <c r="BH58" s="14">
        <v>85999.999999980006</v>
      </c>
      <c r="BI58" s="12">
        <f t="shared" si="161"/>
        <v>-8</v>
      </c>
      <c r="BJ58" s="14">
        <f t="shared" si="162"/>
        <v>-111428.57142854002</v>
      </c>
      <c r="BK58" s="13">
        <f t="shared" si="163"/>
        <v>-0.56439942112878672</v>
      </c>
      <c r="BL58" s="35"/>
      <c r="BM58" s="16"/>
      <c r="BN58" s="15" t="s">
        <v>7</v>
      </c>
      <c r="BO58" s="12">
        <v>15</v>
      </c>
      <c r="BP58" s="14">
        <v>173234.28571426001</v>
      </c>
      <c r="BQ58" s="12">
        <f t="shared" si="164"/>
        <v>8</v>
      </c>
      <c r="BR58" s="14">
        <f t="shared" si="165"/>
        <v>87234.285714280006</v>
      </c>
      <c r="BS58" s="13">
        <f t="shared" si="166"/>
        <v>1.014352159468608</v>
      </c>
      <c r="BU58" s="16"/>
      <c r="BV58" s="15" t="s">
        <v>7</v>
      </c>
      <c r="BW58" s="12">
        <v>6</v>
      </c>
      <c r="BX58" s="14">
        <v>69333.333333310002</v>
      </c>
      <c r="BY58" s="12">
        <f t="shared" si="167"/>
        <v>-9</v>
      </c>
      <c r="BZ58" s="14">
        <f t="shared" si="168"/>
        <v>-103900.95238095001</v>
      </c>
      <c r="CA58" s="13">
        <f t="shared" si="169"/>
        <v>-0.59977129788458072</v>
      </c>
      <c r="CC58" s="16"/>
      <c r="CD58" s="15" t="s">
        <v>7</v>
      </c>
      <c r="CE58" s="12">
        <v>22</v>
      </c>
      <c r="CF58" s="14">
        <v>301333.33333328</v>
      </c>
      <c r="CG58" s="12">
        <f t="shared" si="170"/>
        <v>16</v>
      </c>
      <c r="CH58" s="14">
        <f t="shared" si="171"/>
        <v>231999.99999996999</v>
      </c>
      <c r="CI58" s="13">
        <f t="shared" si="172"/>
        <v>3.3461538461545395</v>
      </c>
      <c r="CK58" s="16"/>
      <c r="CL58" s="15" t="s">
        <v>7</v>
      </c>
      <c r="CM58" s="12">
        <v>12</v>
      </c>
      <c r="CN58" s="14">
        <v>144940.95238092999</v>
      </c>
      <c r="CO58" s="12">
        <f t="shared" si="173"/>
        <v>-10</v>
      </c>
      <c r="CP58" s="14">
        <f t="shared" si="174"/>
        <v>-156392.38095235001</v>
      </c>
      <c r="CQ58" s="13">
        <f t="shared" si="175"/>
        <v>-0.51900126422249238</v>
      </c>
      <c r="CS58" s="16"/>
      <c r="CT58" s="15" t="s">
        <v>7</v>
      </c>
      <c r="CU58" s="12">
        <v>15</v>
      </c>
      <c r="CV58" s="14">
        <v>187891.42857138001</v>
      </c>
      <c r="CW58" s="12">
        <f t="shared" si="176"/>
        <v>3</v>
      </c>
      <c r="CX58" s="14">
        <f t="shared" si="177"/>
        <v>42950.476190450019</v>
      </c>
      <c r="CY58" s="13">
        <f t="shared" si="178"/>
        <v>0.29633085394367159</v>
      </c>
    </row>
    <row r="59" spans="1:103" s="12" customFormat="1" ht="20" customHeight="1">
      <c r="A59" s="16"/>
      <c r="B59" s="15" t="s">
        <v>6</v>
      </c>
      <c r="C59" s="12">
        <v>1</v>
      </c>
      <c r="D59" s="14">
        <v>2857.1428571400002</v>
      </c>
      <c r="F59" s="14"/>
      <c r="G59" s="13"/>
      <c r="I59" s="16"/>
      <c r="J59" s="15" t="s">
        <v>6</v>
      </c>
      <c r="K59" s="12">
        <v>5</v>
      </c>
      <c r="L59" s="14">
        <v>20285.7142857</v>
      </c>
      <c r="M59" s="12">
        <f t="shared" si="143"/>
        <v>4</v>
      </c>
      <c r="N59" s="14">
        <f t="shared" si="144"/>
        <v>17428.571428560001</v>
      </c>
      <c r="O59" s="13">
        <f t="shared" si="145"/>
        <v>6.1000000000021002</v>
      </c>
      <c r="Q59" s="16"/>
      <c r="R59" s="15" t="s">
        <v>6</v>
      </c>
      <c r="S59" s="12">
        <v>2</v>
      </c>
      <c r="T59" s="14">
        <v>5514.2857142800003</v>
      </c>
      <c r="U59" s="12">
        <f t="shared" si="146"/>
        <v>-3</v>
      </c>
      <c r="V59" s="14">
        <f t="shared" si="147"/>
        <v>-14771.42857142</v>
      </c>
      <c r="W59" s="13">
        <f t="shared" si="148"/>
        <v>-0.72816901408459733</v>
      </c>
      <c r="Y59" s="16"/>
      <c r="Z59" s="15" t="s">
        <v>6</v>
      </c>
      <c r="AA59" s="12">
        <v>1</v>
      </c>
      <c r="AB59" s="14">
        <v>2857.1428571400002</v>
      </c>
      <c r="AC59" s="12">
        <f t="shared" si="149"/>
        <v>-1</v>
      </c>
      <c r="AD59" s="14">
        <f t="shared" si="150"/>
        <v>-2657.1428571400002</v>
      </c>
      <c r="AE59" s="13">
        <f t="shared" si="151"/>
        <v>-0.48186528497407449</v>
      </c>
      <c r="AG59" s="16"/>
      <c r="AH59" s="15" t="s">
        <v>6</v>
      </c>
      <c r="AI59" s="12">
        <v>0</v>
      </c>
      <c r="AJ59" s="14">
        <v>0</v>
      </c>
      <c r="AK59" s="12">
        <f t="shared" si="152"/>
        <v>-1</v>
      </c>
      <c r="AL59" s="14">
        <f t="shared" si="153"/>
        <v>-2857.1428571400002</v>
      </c>
      <c r="AM59" s="13">
        <f t="shared" si="154"/>
        <v>-1</v>
      </c>
      <c r="AO59" s="16"/>
      <c r="AP59" s="15" t="s">
        <v>6</v>
      </c>
      <c r="AQ59" s="12">
        <v>2</v>
      </c>
      <c r="AR59" s="14">
        <v>5714.2857142800003</v>
      </c>
      <c r="AS59" s="12">
        <f t="shared" si="155"/>
        <v>2</v>
      </c>
      <c r="AT59" s="14">
        <f t="shared" si="156"/>
        <v>5714.2857142800003</v>
      </c>
      <c r="AU59" s="13" t="e">
        <f t="shared" si="157"/>
        <v>#DIV/0!</v>
      </c>
      <c r="AW59" s="16"/>
      <c r="AX59" s="15" t="s">
        <v>6</v>
      </c>
      <c r="AY59" s="12">
        <v>1</v>
      </c>
      <c r="AZ59" s="14">
        <v>8857.1428571399993</v>
      </c>
      <c r="BA59" s="12">
        <f t="shared" si="158"/>
        <v>-1</v>
      </c>
      <c r="BB59" s="14">
        <f t="shared" si="159"/>
        <v>3142.8571428599989</v>
      </c>
      <c r="BC59" s="13">
        <f t="shared" si="160"/>
        <v>0.55000000000104976</v>
      </c>
      <c r="BE59" s="16"/>
      <c r="BF59" s="15" t="s">
        <v>6</v>
      </c>
      <c r="BG59" s="12">
        <v>1</v>
      </c>
      <c r="BH59" s="14">
        <v>2259.04761904</v>
      </c>
      <c r="BI59" s="12">
        <f t="shared" si="161"/>
        <v>0</v>
      </c>
      <c r="BJ59" s="14">
        <f t="shared" si="162"/>
        <v>-6598.0952380999988</v>
      </c>
      <c r="BK59" s="13">
        <f t="shared" si="163"/>
        <v>-0.74494623655991765</v>
      </c>
      <c r="BL59" s="35"/>
      <c r="BM59" s="16"/>
      <c r="BN59" s="15" t="s">
        <v>6</v>
      </c>
      <c r="BO59" s="12">
        <v>0</v>
      </c>
      <c r="BP59" s="14">
        <v>0</v>
      </c>
      <c r="BQ59" s="12">
        <f t="shared" si="164"/>
        <v>-1</v>
      </c>
      <c r="BR59" s="14">
        <f t="shared" si="165"/>
        <v>-2259.04761904</v>
      </c>
      <c r="BS59" s="13">
        <f t="shared" si="166"/>
        <v>-1</v>
      </c>
      <c r="BU59" s="16"/>
      <c r="BV59" s="15" t="s">
        <v>6</v>
      </c>
      <c r="BW59" s="12">
        <v>1</v>
      </c>
      <c r="BX59" s="14">
        <v>2857.1428571400002</v>
      </c>
      <c r="BY59" s="12">
        <f t="shared" si="167"/>
        <v>1</v>
      </c>
      <c r="BZ59" s="14">
        <f t="shared" si="168"/>
        <v>2857.1428571400002</v>
      </c>
      <c r="CA59" s="13" t="e">
        <f t="shared" si="169"/>
        <v>#DIV/0!</v>
      </c>
      <c r="CC59" s="16"/>
      <c r="CD59" s="15" t="s">
        <v>6</v>
      </c>
      <c r="CE59" s="12">
        <v>4</v>
      </c>
      <c r="CF59" s="14">
        <v>11428.571428560001</v>
      </c>
      <c r="CG59" s="12">
        <f t="shared" si="170"/>
        <v>3</v>
      </c>
      <c r="CH59" s="14">
        <f t="shared" si="171"/>
        <v>8571.4285714200014</v>
      </c>
      <c r="CI59" s="13">
        <f t="shared" si="172"/>
        <v>3.0000000000000004</v>
      </c>
      <c r="CK59" s="16"/>
      <c r="CL59" s="15" t="s">
        <v>6</v>
      </c>
      <c r="CM59" s="12">
        <v>6</v>
      </c>
      <c r="CN59" s="14">
        <v>31322.857142839999</v>
      </c>
      <c r="CO59" s="12">
        <f t="shared" si="173"/>
        <v>2</v>
      </c>
      <c r="CP59" s="14">
        <f t="shared" si="174"/>
        <v>19894.285714279999</v>
      </c>
      <c r="CQ59" s="13">
        <f t="shared" si="175"/>
        <v>1.7407500000012406</v>
      </c>
      <c r="CS59" s="16"/>
      <c r="CT59" s="15" t="s">
        <v>6</v>
      </c>
      <c r="CU59" s="12">
        <v>6</v>
      </c>
      <c r="CV59" s="14">
        <v>16942.857142840003</v>
      </c>
      <c r="CW59" s="12">
        <f t="shared" si="176"/>
        <v>0</v>
      </c>
      <c r="CX59" s="14">
        <f t="shared" si="177"/>
        <v>-14379.999999999996</v>
      </c>
      <c r="CY59" s="13">
        <f t="shared" si="178"/>
        <v>-0.45908966523786859</v>
      </c>
    </row>
    <row r="60" spans="1:103" s="12" customFormat="1" ht="20" customHeight="1">
      <c r="A60" s="16"/>
      <c r="B60" s="15" t="s">
        <v>5</v>
      </c>
      <c r="C60" s="12">
        <v>14</v>
      </c>
      <c r="D60" s="14">
        <v>39990</v>
      </c>
      <c r="F60" s="14"/>
      <c r="G60" s="13"/>
      <c r="I60" s="16"/>
      <c r="J60" s="15" t="s">
        <v>5</v>
      </c>
      <c r="K60" s="12">
        <v>11</v>
      </c>
      <c r="L60" s="14">
        <v>38090</v>
      </c>
      <c r="M60" s="12">
        <f t="shared" si="143"/>
        <v>-3</v>
      </c>
      <c r="N60" s="14">
        <f t="shared" si="144"/>
        <v>-1900</v>
      </c>
      <c r="O60" s="13">
        <f t="shared" si="145"/>
        <v>-4.7511877969492376E-2</v>
      </c>
      <c r="Q60" s="16"/>
      <c r="R60" s="15" t="s">
        <v>5</v>
      </c>
      <c r="S60" s="12">
        <v>7</v>
      </c>
      <c r="T60" s="14">
        <v>24730</v>
      </c>
      <c r="U60" s="12">
        <f t="shared" si="146"/>
        <v>-4</v>
      </c>
      <c r="V60" s="14">
        <f t="shared" si="147"/>
        <v>-13360</v>
      </c>
      <c r="W60" s="13">
        <f t="shared" si="148"/>
        <v>-0.3507482278813337</v>
      </c>
      <c r="Y60" s="16"/>
      <c r="Z60" s="15" t="s">
        <v>5</v>
      </c>
      <c r="AA60" s="12">
        <v>0</v>
      </c>
      <c r="AB60" s="14">
        <v>0</v>
      </c>
      <c r="AC60" s="12">
        <f t="shared" si="149"/>
        <v>-7</v>
      </c>
      <c r="AD60" s="14">
        <f t="shared" si="150"/>
        <v>-24730</v>
      </c>
      <c r="AE60" s="13">
        <f t="shared" si="151"/>
        <v>-1</v>
      </c>
      <c r="AG60" s="16"/>
      <c r="AH60" s="15" t="s">
        <v>5</v>
      </c>
      <c r="AI60" s="12">
        <v>7</v>
      </c>
      <c r="AJ60" s="14">
        <v>17730</v>
      </c>
      <c r="AK60" s="12">
        <f t="shared" si="152"/>
        <v>7</v>
      </c>
      <c r="AL60" s="14">
        <f t="shared" si="153"/>
        <v>17730</v>
      </c>
      <c r="AM60" s="13" t="e">
        <f t="shared" si="154"/>
        <v>#DIV/0!</v>
      </c>
      <c r="AO60" s="16"/>
      <c r="AP60" s="15" t="s">
        <v>5</v>
      </c>
      <c r="AQ60" s="12">
        <v>3</v>
      </c>
      <c r="AR60" s="14">
        <v>11470</v>
      </c>
      <c r="AS60" s="12">
        <f t="shared" si="155"/>
        <v>-4</v>
      </c>
      <c r="AT60" s="14">
        <f t="shared" si="156"/>
        <v>-6260</v>
      </c>
      <c r="AU60" s="13">
        <f t="shared" si="157"/>
        <v>-0.35307388606880991</v>
      </c>
      <c r="AW60" s="16"/>
      <c r="AX60" s="15" t="s">
        <v>5</v>
      </c>
      <c r="AY60" s="12">
        <v>5</v>
      </c>
      <c r="AZ60" s="14">
        <v>17350</v>
      </c>
      <c r="BA60" s="12">
        <f t="shared" si="158"/>
        <v>2</v>
      </c>
      <c r="BB60" s="14">
        <f t="shared" si="159"/>
        <v>5880</v>
      </c>
      <c r="BC60" s="13">
        <f t="shared" si="160"/>
        <v>0.51264167393199656</v>
      </c>
      <c r="BE60" s="16"/>
      <c r="BF60" s="15" t="s">
        <v>5</v>
      </c>
      <c r="BG60" s="12">
        <v>4</v>
      </c>
      <c r="BH60" s="14">
        <v>12560</v>
      </c>
      <c r="BI60" s="12">
        <f t="shared" si="161"/>
        <v>-1</v>
      </c>
      <c r="BJ60" s="14">
        <f t="shared" si="162"/>
        <v>-4790</v>
      </c>
      <c r="BK60" s="13">
        <f t="shared" si="163"/>
        <v>-0.27608069164265131</v>
      </c>
      <c r="BL60" s="35"/>
      <c r="BM60" s="16"/>
      <c r="BN60" s="15" t="s">
        <v>5</v>
      </c>
      <c r="BO60" s="12">
        <v>2</v>
      </c>
      <c r="BP60" s="14">
        <v>5180</v>
      </c>
      <c r="BQ60" s="12">
        <f t="shared" si="164"/>
        <v>-2</v>
      </c>
      <c r="BR60" s="14">
        <f t="shared" si="165"/>
        <v>-7380</v>
      </c>
      <c r="BS60" s="13">
        <f t="shared" si="166"/>
        <v>-0.58757961783439494</v>
      </c>
      <c r="BU60" s="16"/>
      <c r="BV60" s="15" t="s">
        <v>5</v>
      </c>
      <c r="BW60" s="12">
        <v>4</v>
      </c>
      <c r="BX60" s="14">
        <v>10160</v>
      </c>
      <c r="BY60" s="12">
        <f t="shared" si="167"/>
        <v>2</v>
      </c>
      <c r="BZ60" s="14">
        <f t="shared" si="168"/>
        <v>4980</v>
      </c>
      <c r="CA60" s="13">
        <f t="shared" si="169"/>
        <v>0.96138996138996136</v>
      </c>
      <c r="CC60" s="16"/>
      <c r="CD60" s="15" t="s">
        <v>5</v>
      </c>
      <c r="CE60" s="12">
        <v>4</v>
      </c>
      <c r="CF60" s="14">
        <v>4660</v>
      </c>
      <c r="CG60" s="12">
        <f t="shared" si="170"/>
        <v>0</v>
      </c>
      <c r="CH60" s="14">
        <f t="shared" si="171"/>
        <v>-5500</v>
      </c>
      <c r="CI60" s="13">
        <f t="shared" si="172"/>
        <v>-0.54133858267716539</v>
      </c>
      <c r="CK60" s="16"/>
      <c r="CL60" s="15" t="s">
        <v>5</v>
      </c>
      <c r="CM60" s="12">
        <v>3</v>
      </c>
      <c r="CN60" s="14">
        <v>9970</v>
      </c>
      <c r="CO60" s="12">
        <f t="shared" si="173"/>
        <v>-1</v>
      </c>
      <c r="CP60" s="14">
        <f t="shared" si="174"/>
        <v>5310</v>
      </c>
      <c r="CQ60" s="13">
        <f t="shared" si="175"/>
        <v>1.1394849785407726</v>
      </c>
      <c r="CS60" s="16"/>
      <c r="CT60" s="15" t="s">
        <v>5</v>
      </c>
      <c r="CU60" s="12">
        <v>10</v>
      </c>
      <c r="CV60" s="14">
        <v>32800</v>
      </c>
      <c r="CW60" s="12">
        <f t="shared" si="176"/>
        <v>7</v>
      </c>
      <c r="CX60" s="14">
        <f t="shared" si="177"/>
        <v>22830</v>
      </c>
      <c r="CY60" s="13">
        <f t="shared" si="178"/>
        <v>2.2898696088264794</v>
      </c>
    </row>
    <row r="61" spans="1:103" s="12" customFormat="1" ht="20" customHeight="1">
      <c r="A61" s="16"/>
      <c r="B61" s="15" t="s">
        <v>4</v>
      </c>
      <c r="C61" s="12">
        <v>9</v>
      </c>
      <c r="D61" s="14">
        <v>399295.23809518997</v>
      </c>
      <c r="F61" s="14"/>
      <c r="G61" s="13"/>
      <c r="I61" s="16"/>
      <c r="J61" s="15" t="s">
        <v>4</v>
      </c>
      <c r="K61" s="12">
        <v>2</v>
      </c>
      <c r="L61" s="14">
        <v>75047.619047610002</v>
      </c>
      <c r="M61" s="12">
        <f t="shared" si="143"/>
        <v>-7</v>
      </c>
      <c r="N61" s="14">
        <f t="shared" si="144"/>
        <v>-324247.61904757994</v>
      </c>
      <c r="O61" s="13">
        <f t="shared" si="145"/>
        <v>-0.81204980203215182</v>
      </c>
      <c r="Q61" s="16"/>
      <c r="R61" s="15" t="s">
        <v>4</v>
      </c>
      <c r="S61" s="12">
        <v>2</v>
      </c>
      <c r="T61" s="14">
        <v>62247.619047610002</v>
      </c>
      <c r="U61" s="12">
        <f t="shared" si="146"/>
        <v>0</v>
      </c>
      <c r="V61" s="14">
        <f t="shared" si="147"/>
        <v>-12800</v>
      </c>
      <c r="W61" s="13">
        <f t="shared" si="148"/>
        <v>-0.17055837563453832</v>
      </c>
      <c r="Y61" s="16"/>
      <c r="Z61" s="15" t="s">
        <v>4</v>
      </c>
      <c r="AA61" s="12">
        <v>0</v>
      </c>
      <c r="AB61" s="14">
        <v>0</v>
      </c>
      <c r="AC61" s="12">
        <f t="shared" si="149"/>
        <v>-2</v>
      </c>
      <c r="AD61" s="14">
        <f t="shared" si="150"/>
        <v>-62247.619047610002</v>
      </c>
      <c r="AE61" s="13">
        <f t="shared" si="151"/>
        <v>-1</v>
      </c>
      <c r="AG61" s="16"/>
      <c r="AH61" s="15" t="s">
        <v>4</v>
      </c>
      <c r="AI61" s="12">
        <v>0</v>
      </c>
      <c r="AJ61" s="14">
        <v>0</v>
      </c>
      <c r="AK61" s="12">
        <f t="shared" si="152"/>
        <v>0</v>
      </c>
      <c r="AL61" s="14">
        <f t="shared" si="153"/>
        <v>0</v>
      </c>
      <c r="AM61" s="13" t="e">
        <f t="shared" si="154"/>
        <v>#DIV/0!</v>
      </c>
      <c r="AO61" s="16"/>
      <c r="AP61" s="15" t="s">
        <v>4</v>
      </c>
      <c r="AQ61" s="12">
        <v>1</v>
      </c>
      <c r="AR61" s="14">
        <v>29314.285714279999</v>
      </c>
      <c r="AS61" s="12">
        <f t="shared" si="155"/>
        <v>1</v>
      </c>
      <c r="AT61" s="14">
        <f t="shared" si="156"/>
        <v>29314.285714279999</v>
      </c>
      <c r="AU61" s="13" t="e">
        <f t="shared" si="157"/>
        <v>#DIV/0!</v>
      </c>
      <c r="AW61" s="16"/>
      <c r="AX61" s="15" t="s">
        <v>4</v>
      </c>
      <c r="AY61" s="12">
        <v>1</v>
      </c>
      <c r="AZ61" s="14">
        <v>34190.476190469999</v>
      </c>
      <c r="BA61" s="12">
        <f t="shared" si="158"/>
        <v>0</v>
      </c>
      <c r="BB61" s="14">
        <f t="shared" si="159"/>
        <v>4876.1904761900005</v>
      </c>
      <c r="BC61" s="13">
        <f t="shared" si="160"/>
        <v>0.1663417803768843</v>
      </c>
      <c r="BE61" s="16"/>
      <c r="BF61" s="15" t="s">
        <v>4</v>
      </c>
      <c r="BG61" s="12">
        <v>2</v>
      </c>
      <c r="BH61" s="14">
        <v>62190.476190469999</v>
      </c>
      <c r="BI61" s="12">
        <f t="shared" si="161"/>
        <v>1</v>
      </c>
      <c r="BJ61" s="14">
        <f t="shared" si="162"/>
        <v>28000</v>
      </c>
      <c r="BK61" s="13">
        <f t="shared" si="163"/>
        <v>0.81894150417842126</v>
      </c>
      <c r="BL61" s="35"/>
      <c r="BM61" s="16"/>
      <c r="BN61" s="15" t="s">
        <v>4</v>
      </c>
      <c r="BO61" s="12">
        <v>2</v>
      </c>
      <c r="BP61" s="14">
        <v>75047.619047610002</v>
      </c>
      <c r="BQ61" s="12">
        <f t="shared" si="164"/>
        <v>0</v>
      </c>
      <c r="BR61" s="14">
        <f t="shared" si="165"/>
        <v>12857.142857140003</v>
      </c>
      <c r="BS61" s="13">
        <f t="shared" si="166"/>
        <v>0.20673813169982155</v>
      </c>
      <c r="BU61" s="16"/>
      <c r="BV61" s="15" t="s">
        <v>4</v>
      </c>
      <c r="BW61" s="12">
        <v>0</v>
      </c>
      <c r="BX61" s="14">
        <v>0</v>
      </c>
      <c r="BY61" s="12">
        <f t="shared" si="167"/>
        <v>-2</v>
      </c>
      <c r="BZ61" s="14">
        <f t="shared" si="168"/>
        <v>-75047.619047610002</v>
      </c>
      <c r="CA61" s="13">
        <f t="shared" si="169"/>
        <v>-1</v>
      </c>
      <c r="CC61" s="16"/>
      <c r="CD61" s="15" t="s">
        <v>4</v>
      </c>
      <c r="CE61" s="12">
        <v>0</v>
      </c>
      <c r="CF61" s="14">
        <v>0</v>
      </c>
      <c r="CG61" s="12">
        <f t="shared" si="170"/>
        <v>0</v>
      </c>
      <c r="CH61" s="14">
        <f t="shared" si="171"/>
        <v>0</v>
      </c>
      <c r="CI61" s="13" t="e">
        <f t="shared" si="172"/>
        <v>#DIV/0!</v>
      </c>
      <c r="CK61" s="16"/>
      <c r="CL61" s="15" t="s">
        <v>4</v>
      </c>
      <c r="CM61" s="12">
        <v>2</v>
      </c>
      <c r="CN61" s="14">
        <v>95047.619047600005</v>
      </c>
      <c r="CO61" s="12">
        <f t="shared" si="173"/>
        <v>2</v>
      </c>
      <c r="CP61" s="14">
        <f t="shared" si="174"/>
        <v>95047.619047600005</v>
      </c>
      <c r="CQ61" s="13" t="e">
        <f t="shared" si="175"/>
        <v>#DIV/0!</v>
      </c>
      <c r="CS61" s="16"/>
      <c r="CT61" s="15" t="s">
        <v>4</v>
      </c>
      <c r="CU61" s="12">
        <v>6</v>
      </c>
      <c r="CV61" s="14">
        <v>221299.99999998001</v>
      </c>
      <c r="CW61" s="12">
        <f t="shared" si="176"/>
        <v>4</v>
      </c>
      <c r="CX61" s="14">
        <f t="shared" si="177"/>
        <v>126252.38095238</v>
      </c>
      <c r="CY61" s="13">
        <f t="shared" si="178"/>
        <v>1.328306613226709</v>
      </c>
    </row>
    <row r="62" spans="1:103" s="12" customFormat="1" ht="20" customHeight="1">
      <c r="A62" s="16"/>
      <c r="B62" s="15" t="s">
        <v>3</v>
      </c>
      <c r="C62" s="12">
        <v>31</v>
      </c>
      <c r="D62" s="14">
        <v>574666.66666658001</v>
      </c>
      <c r="F62" s="14"/>
      <c r="G62" s="13"/>
      <c r="I62" s="16"/>
      <c r="J62" s="15" t="s">
        <v>3</v>
      </c>
      <c r="K62" s="12">
        <v>32</v>
      </c>
      <c r="L62" s="14">
        <v>717904.76190469996</v>
      </c>
      <c r="M62" s="12">
        <f t="shared" si="143"/>
        <v>1</v>
      </c>
      <c r="N62" s="14">
        <f t="shared" si="144"/>
        <v>143238.09523811995</v>
      </c>
      <c r="O62" s="13">
        <f t="shared" si="145"/>
        <v>0.24925422605245048</v>
      </c>
      <c r="Q62" s="16"/>
      <c r="R62" s="15" t="s">
        <v>3</v>
      </c>
      <c r="S62" s="12">
        <v>15</v>
      </c>
      <c r="T62" s="14">
        <v>274285.71428567998</v>
      </c>
      <c r="U62" s="12">
        <f t="shared" si="146"/>
        <v>-17</v>
      </c>
      <c r="V62" s="14">
        <f t="shared" si="147"/>
        <v>-443619.04761901998</v>
      </c>
      <c r="W62" s="13">
        <f t="shared" si="148"/>
        <v>-0.61793579198727933</v>
      </c>
      <c r="Y62" s="16"/>
      <c r="Z62" s="15" t="s">
        <v>3</v>
      </c>
      <c r="AA62" s="12">
        <v>11</v>
      </c>
      <c r="AB62" s="14">
        <v>174190.47619044999</v>
      </c>
      <c r="AC62" s="12">
        <f t="shared" si="149"/>
        <v>-4</v>
      </c>
      <c r="AD62" s="14">
        <f t="shared" si="150"/>
        <v>-100095.23809522999</v>
      </c>
      <c r="AE62" s="13">
        <f t="shared" si="151"/>
        <v>-0.36493055555557163</v>
      </c>
      <c r="AG62" s="16"/>
      <c r="AH62" s="15" t="s">
        <v>3</v>
      </c>
      <c r="AI62" s="12">
        <v>6</v>
      </c>
      <c r="AJ62" s="14">
        <v>127047.6190476</v>
      </c>
      <c r="AK62" s="12">
        <f t="shared" si="152"/>
        <v>-5</v>
      </c>
      <c r="AL62" s="14">
        <f t="shared" si="153"/>
        <v>-47142.857142849985</v>
      </c>
      <c r="AM62" s="13">
        <f t="shared" si="154"/>
        <v>-0.27063969382176012</v>
      </c>
      <c r="AO62" s="16"/>
      <c r="AP62" s="15" t="s">
        <v>3</v>
      </c>
      <c r="AQ62" s="12">
        <v>10</v>
      </c>
      <c r="AR62" s="14">
        <v>158095.23809520999</v>
      </c>
      <c r="AS62" s="12">
        <f t="shared" si="155"/>
        <v>4</v>
      </c>
      <c r="AT62" s="14">
        <f t="shared" si="156"/>
        <v>31047.619047609987</v>
      </c>
      <c r="AU62" s="13">
        <f t="shared" si="157"/>
        <v>0.24437781109441808</v>
      </c>
      <c r="AW62" s="16"/>
      <c r="AX62" s="15" t="s">
        <v>3</v>
      </c>
      <c r="AY62" s="12">
        <v>16</v>
      </c>
      <c r="AZ62" s="14">
        <v>288476.19047615997</v>
      </c>
      <c r="BA62" s="12">
        <f t="shared" si="158"/>
        <v>6</v>
      </c>
      <c r="BB62" s="14">
        <f t="shared" si="159"/>
        <v>130380.95238094998</v>
      </c>
      <c r="BC62" s="13">
        <f t="shared" si="160"/>
        <v>0.82469879518085432</v>
      </c>
      <c r="BE62" s="16"/>
      <c r="BF62" s="15" t="s">
        <v>3</v>
      </c>
      <c r="BG62" s="12">
        <v>6</v>
      </c>
      <c r="BH62" s="14">
        <v>94190.476190460002</v>
      </c>
      <c r="BI62" s="12">
        <f t="shared" si="161"/>
        <v>-10</v>
      </c>
      <c r="BJ62" s="14">
        <f t="shared" si="162"/>
        <v>-194285.71428569997</v>
      </c>
      <c r="BK62" s="13">
        <f t="shared" si="163"/>
        <v>-0.67348960052824869</v>
      </c>
      <c r="BL62" s="35"/>
      <c r="BM62" s="16"/>
      <c r="BN62" s="15" t="s">
        <v>3</v>
      </c>
      <c r="BO62" s="12">
        <v>13</v>
      </c>
      <c r="BP62" s="14">
        <v>227333.33333329996</v>
      </c>
      <c r="BQ62" s="12">
        <f t="shared" si="164"/>
        <v>7</v>
      </c>
      <c r="BR62" s="14">
        <f t="shared" si="165"/>
        <v>133142.85714283996</v>
      </c>
      <c r="BS62" s="13">
        <f t="shared" si="166"/>
        <v>1.4135490394338319</v>
      </c>
      <c r="BU62" s="16"/>
      <c r="BV62" s="15" t="s">
        <v>3</v>
      </c>
      <c r="BW62" s="12">
        <v>14</v>
      </c>
      <c r="BX62" s="14">
        <v>321047.61904757004</v>
      </c>
      <c r="BY62" s="12">
        <f t="shared" si="167"/>
        <v>1</v>
      </c>
      <c r="BZ62" s="14">
        <f t="shared" si="168"/>
        <v>93714.285714270081</v>
      </c>
      <c r="CA62" s="13">
        <f t="shared" si="169"/>
        <v>0.41223292836195236</v>
      </c>
      <c r="CC62" s="16"/>
      <c r="CD62" s="15" t="s">
        <v>3</v>
      </c>
      <c r="CE62" s="12">
        <v>10</v>
      </c>
      <c r="CF62" s="14">
        <v>218095.23809519998</v>
      </c>
      <c r="CG62" s="12">
        <f t="shared" si="170"/>
        <v>-4</v>
      </c>
      <c r="CH62" s="14">
        <f t="shared" si="171"/>
        <v>-102952.38095237006</v>
      </c>
      <c r="CI62" s="13">
        <f t="shared" si="172"/>
        <v>-0.32067635716406129</v>
      </c>
      <c r="CK62" s="16"/>
      <c r="CL62" s="15" t="s">
        <v>3</v>
      </c>
      <c r="CM62" s="12">
        <v>12</v>
      </c>
      <c r="CN62" s="14">
        <v>198380.95238092</v>
      </c>
      <c r="CO62" s="12">
        <f t="shared" si="173"/>
        <v>2</v>
      </c>
      <c r="CP62" s="14">
        <f t="shared" si="174"/>
        <v>-19714.285714279977</v>
      </c>
      <c r="CQ62" s="13">
        <f t="shared" si="175"/>
        <v>-9.0393013100426176E-2</v>
      </c>
      <c r="CS62" s="16"/>
      <c r="CT62" s="15" t="s">
        <v>3</v>
      </c>
      <c r="CU62" s="12">
        <v>16</v>
      </c>
      <c r="CV62" s="14">
        <v>318952.38095235004</v>
      </c>
      <c r="CW62" s="12">
        <f t="shared" si="176"/>
        <v>4</v>
      </c>
      <c r="CX62" s="14">
        <f t="shared" si="177"/>
        <v>120571.42857143003</v>
      </c>
      <c r="CY62" s="13">
        <f t="shared" si="178"/>
        <v>0.60777724435920399</v>
      </c>
    </row>
    <row r="63" spans="1:103" s="12" customFormat="1" ht="20" customHeight="1">
      <c r="A63" s="16"/>
      <c r="B63" s="15" t="s">
        <v>2</v>
      </c>
      <c r="C63" s="12">
        <v>64</v>
      </c>
      <c r="D63" s="14">
        <v>2450571.4285713499</v>
      </c>
      <c r="F63" s="14"/>
      <c r="G63" s="13"/>
      <c r="I63" s="16"/>
      <c r="J63" s="15" t="s">
        <v>2</v>
      </c>
      <c r="K63" s="12">
        <v>120</v>
      </c>
      <c r="L63" s="14">
        <v>4779047.61904753</v>
      </c>
      <c r="M63" s="12">
        <f t="shared" si="143"/>
        <v>56</v>
      </c>
      <c r="N63" s="14">
        <f t="shared" si="144"/>
        <v>2328476.1904761801</v>
      </c>
      <c r="O63" s="13">
        <f t="shared" si="145"/>
        <v>0.95017682950529225</v>
      </c>
      <c r="Q63" s="16"/>
      <c r="R63" s="15" t="s">
        <v>2</v>
      </c>
      <c r="S63" s="12">
        <v>83</v>
      </c>
      <c r="T63" s="14">
        <v>3133999.9999998999</v>
      </c>
      <c r="U63" s="12">
        <f t="shared" si="146"/>
        <v>-37</v>
      </c>
      <c r="V63" s="14">
        <f t="shared" si="147"/>
        <v>-1645047.6190476301</v>
      </c>
      <c r="W63" s="13">
        <f t="shared" si="148"/>
        <v>-0.34422080510164282</v>
      </c>
      <c r="Y63" s="16"/>
      <c r="Z63" s="15" t="s">
        <v>2</v>
      </c>
      <c r="AA63" s="12">
        <v>59</v>
      </c>
      <c r="AB63" s="14">
        <v>2189619.04761896</v>
      </c>
      <c r="AC63" s="12">
        <f t="shared" si="149"/>
        <v>-24</v>
      </c>
      <c r="AD63" s="14">
        <f t="shared" si="150"/>
        <v>-944380.95238093985</v>
      </c>
      <c r="AE63" s="13">
        <f t="shared" si="151"/>
        <v>-0.30133406266144547</v>
      </c>
      <c r="AG63" s="16"/>
      <c r="AH63" s="15" t="s">
        <v>2</v>
      </c>
      <c r="AI63" s="12">
        <v>38</v>
      </c>
      <c r="AJ63" s="14">
        <v>1514952.3809523201</v>
      </c>
      <c r="AK63" s="12">
        <f t="shared" si="152"/>
        <v>-21</v>
      </c>
      <c r="AL63" s="14">
        <f t="shared" si="153"/>
        <v>-674666.66666663997</v>
      </c>
      <c r="AM63" s="13">
        <f t="shared" si="154"/>
        <v>-0.3081205689182725</v>
      </c>
      <c r="AO63" s="16"/>
      <c r="AP63" s="15" t="s">
        <v>2</v>
      </c>
      <c r="AQ63" s="12">
        <v>28</v>
      </c>
      <c r="AR63" s="14">
        <v>1034476.1904761202</v>
      </c>
      <c r="AS63" s="12">
        <f t="shared" si="155"/>
        <v>-10</v>
      </c>
      <c r="AT63" s="14">
        <f t="shared" si="156"/>
        <v>-480476.19047619984</v>
      </c>
      <c r="AU63" s="13">
        <f t="shared" si="157"/>
        <v>-0.31715596907023957</v>
      </c>
      <c r="AW63" s="16"/>
      <c r="AX63" s="15" t="s">
        <v>2</v>
      </c>
      <c r="AY63" s="12">
        <v>35</v>
      </c>
      <c r="AZ63" s="14">
        <v>1346666.6666666002</v>
      </c>
      <c r="BA63" s="12">
        <f t="shared" si="158"/>
        <v>7</v>
      </c>
      <c r="BB63" s="14">
        <f t="shared" si="159"/>
        <v>312190.47619047994</v>
      </c>
      <c r="BC63" s="13">
        <f t="shared" si="160"/>
        <v>0.30178604308601198</v>
      </c>
      <c r="BE63" s="16"/>
      <c r="BF63" s="15" t="s">
        <v>2</v>
      </c>
      <c r="BG63" s="12">
        <v>38</v>
      </c>
      <c r="BH63" s="14">
        <v>1478761.9047618501</v>
      </c>
      <c r="BI63" s="12">
        <f t="shared" si="161"/>
        <v>3</v>
      </c>
      <c r="BJ63" s="14">
        <f t="shared" si="162"/>
        <v>132095.23809524998</v>
      </c>
      <c r="BK63" s="13">
        <f t="shared" si="163"/>
        <v>9.8090523338061758E-2</v>
      </c>
      <c r="BL63" s="35"/>
      <c r="BM63" s="16"/>
      <c r="BN63" s="15" t="s">
        <v>2</v>
      </c>
      <c r="BO63" s="12">
        <v>19</v>
      </c>
      <c r="BP63" s="14">
        <v>714380.95238091995</v>
      </c>
      <c r="BQ63" s="12">
        <f t="shared" si="164"/>
        <v>-19</v>
      </c>
      <c r="BR63" s="14">
        <f t="shared" si="165"/>
        <v>-764380.95238093019</v>
      </c>
      <c r="BS63" s="13">
        <f t="shared" si="166"/>
        <v>-0.51690603464932461</v>
      </c>
      <c r="BU63" s="16"/>
      <c r="BV63" s="15" t="s">
        <v>2</v>
      </c>
      <c r="BW63" s="12">
        <v>30</v>
      </c>
      <c r="BX63" s="14">
        <v>1069523.8095237301</v>
      </c>
      <c r="BY63" s="12">
        <f t="shared" si="167"/>
        <v>11</v>
      </c>
      <c r="BZ63" s="14">
        <f t="shared" si="168"/>
        <v>355142.85714281013</v>
      </c>
      <c r="CA63" s="13">
        <f t="shared" si="169"/>
        <v>0.49713371550455615</v>
      </c>
      <c r="CC63" s="16"/>
      <c r="CD63" s="15" t="s">
        <v>2</v>
      </c>
      <c r="CE63" s="12">
        <v>17</v>
      </c>
      <c r="CF63" s="14">
        <v>658380.95238090004</v>
      </c>
      <c r="CG63" s="12">
        <f t="shared" si="170"/>
        <v>-13</v>
      </c>
      <c r="CH63" s="14">
        <f t="shared" si="171"/>
        <v>-411142.85714283003</v>
      </c>
      <c r="CI63" s="13">
        <f t="shared" si="172"/>
        <v>-0.3844167408726657</v>
      </c>
      <c r="CK63" s="16"/>
      <c r="CL63" s="15" t="s">
        <v>2</v>
      </c>
      <c r="CM63" s="12">
        <v>24</v>
      </c>
      <c r="CN63" s="14">
        <v>842952.38095232996</v>
      </c>
      <c r="CO63" s="12">
        <f t="shared" si="173"/>
        <v>7</v>
      </c>
      <c r="CP63" s="14">
        <f t="shared" si="174"/>
        <v>184571.42857142992</v>
      </c>
      <c r="CQ63" s="13">
        <f t="shared" si="175"/>
        <v>0.28034138579490353</v>
      </c>
      <c r="CS63" s="16"/>
      <c r="CT63" s="15" t="s">
        <v>2</v>
      </c>
      <c r="CU63" s="12">
        <v>20</v>
      </c>
      <c r="CV63" s="14">
        <v>782380.95238091995</v>
      </c>
      <c r="CW63" s="12">
        <f t="shared" si="176"/>
        <v>-4</v>
      </c>
      <c r="CX63" s="14">
        <f t="shared" si="177"/>
        <v>-60571.428571410012</v>
      </c>
      <c r="CY63" s="13">
        <f t="shared" si="178"/>
        <v>-7.1856287425132032E-2</v>
      </c>
    </row>
    <row r="64" spans="1:103" s="1" customFormat="1" ht="20" customHeight="1">
      <c r="A64" s="11" t="s">
        <v>1</v>
      </c>
      <c r="B64" s="11"/>
      <c r="C64" s="10">
        <v>520</v>
      </c>
      <c r="D64" s="9">
        <v>4342649.9999987893</v>
      </c>
      <c r="E64" s="29"/>
      <c r="F64" s="30"/>
      <c r="G64" s="31"/>
      <c r="I64" s="11" t="s">
        <v>1</v>
      </c>
      <c r="J64" s="11"/>
      <c r="K64" s="10">
        <v>665</v>
      </c>
      <c r="L64" s="9">
        <v>6651854.7619035393</v>
      </c>
      <c r="M64" s="10">
        <f t="shared" si="143"/>
        <v>145</v>
      </c>
      <c r="N64" s="9">
        <f t="shared" si="144"/>
        <v>2309204.76190475</v>
      </c>
      <c r="O64" s="8">
        <f t="shared" si="145"/>
        <v>0.53175014378441587</v>
      </c>
      <c r="Q64" s="11" t="s">
        <v>1</v>
      </c>
      <c r="R64" s="11"/>
      <c r="S64" s="10">
        <v>485</v>
      </c>
      <c r="T64" s="9">
        <v>4231763.3333323393</v>
      </c>
      <c r="U64" s="10">
        <f t="shared" si="146"/>
        <v>-180</v>
      </c>
      <c r="V64" s="9">
        <f t="shared" si="147"/>
        <v>-2420091.4285712</v>
      </c>
      <c r="W64" s="8">
        <f t="shared" si="148"/>
        <v>-0.36382204891657172</v>
      </c>
      <c r="Y64" s="11" t="s">
        <v>1</v>
      </c>
      <c r="Z64" s="11"/>
      <c r="AA64" s="10">
        <v>371</v>
      </c>
      <c r="AB64" s="9">
        <v>2835221.90476098</v>
      </c>
      <c r="AC64" s="10">
        <f t="shared" si="149"/>
        <v>-114</v>
      </c>
      <c r="AD64" s="9">
        <f t="shared" si="150"/>
        <v>-1396541.4285713593</v>
      </c>
      <c r="AE64" s="8">
        <f t="shared" si="151"/>
        <v>-0.33001406708433301</v>
      </c>
      <c r="AG64" s="11" t="s">
        <v>1</v>
      </c>
      <c r="AH64" s="11"/>
      <c r="AI64" s="10">
        <v>286</v>
      </c>
      <c r="AJ64" s="9">
        <v>2104502.38095167</v>
      </c>
      <c r="AK64" s="10">
        <f t="shared" si="152"/>
        <v>-85</v>
      </c>
      <c r="AL64" s="9">
        <f t="shared" si="153"/>
        <v>-730719.52380931005</v>
      </c>
      <c r="AM64" s="8">
        <f t="shared" si="154"/>
        <v>-0.2577292178020586</v>
      </c>
      <c r="AO64" s="11" t="s">
        <v>1</v>
      </c>
      <c r="AP64" s="11"/>
      <c r="AQ64" s="10">
        <v>278</v>
      </c>
      <c r="AR64" s="9">
        <v>1698979.5238088202</v>
      </c>
      <c r="AS64" s="10">
        <f t="shared" si="155"/>
        <v>-8</v>
      </c>
      <c r="AT64" s="9">
        <f t="shared" si="156"/>
        <v>-405522.85714284983</v>
      </c>
      <c r="AU64" s="8">
        <f t="shared" si="157"/>
        <v>-0.19269299042535162</v>
      </c>
      <c r="AW64" s="11" t="s">
        <v>1</v>
      </c>
      <c r="AX64" s="11"/>
      <c r="AY64" s="10">
        <v>358</v>
      </c>
      <c r="AZ64" s="9">
        <v>2294213.8095230404</v>
      </c>
      <c r="BA64" s="10">
        <f t="shared" si="158"/>
        <v>80</v>
      </c>
      <c r="BB64" s="9">
        <f t="shared" si="159"/>
        <v>595234.28571422026</v>
      </c>
      <c r="BC64" s="8">
        <f t="shared" si="160"/>
        <v>0.35034812213616751</v>
      </c>
      <c r="BE64" s="11" t="s">
        <v>1</v>
      </c>
      <c r="BF64" s="11"/>
      <c r="BG64" s="10">
        <v>285</v>
      </c>
      <c r="BH64" s="9">
        <v>2000210.47618976</v>
      </c>
      <c r="BI64" s="10">
        <f t="shared" si="161"/>
        <v>-73</v>
      </c>
      <c r="BJ64" s="9">
        <f t="shared" si="162"/>
        <v>-294003.3333332804</v>
      </c>
      <c r="BK64" s="8">
        <f t="shared" si="163"/>
        <v>-0.12814992748840734</v>
      </c>
      <c r="BL64" s="37"/>
      <c r="BM64" s="11" t="s">
        <v>1</v>
      </c>
      <c r="BN64" s="11"/>
      <c r="BO64" s="10">
        <v>257</v>
      </c>
      <c r="BP64" s="9">
        <v>1472610.4761899</v>
      </c>
      <c r="BQ64" s="10">
        <f t="shared" si="164"/>
        <v>-28</v>
      </c>
      <c r="BR64" s="9">
        <f t="shared" si="165"/>
        <v>-527599.99999986007</v>
      </c>
      <c r="BS64" s="8">
        <f t="shared" si="166"/>
        <v>-0.2637722411117932</v>
      </c>
      <c r="BU64" s="11" t="s">
        <v>1</v>
      </c>
      <c r="BV64" s="11"/>
      <c r="BW64" s="10">
        <v>303</v>
      </c>
      <c r="BX64" s="9">
        <v>1904255.2380945501</v>
      </c>
      <c r="BY64" s="10">
        <f t="shared" si="167"/>
        <v>46</v>
      </c>
      <c r="BZ64" s="9">
        <f t="shared" si="168"/>
        <v>431644.76190465013</v>
      </c>
      <c r="CA64" s="8">
        <f t="shared" si="169"/>
        <v>0.29311536817356415</v>
      </c>
      <c r="CC64" s="11" t="s">
        <v>1</v>
      </c>
      <c r="CD64" s="11"/>
      <c r="CE64" s="10">
        <v>337</v>
      </c>
      <c r="CF64" s="9">
        <v>1749940.9523801799</v>
      </c>
      <c r="CG64" s="10">
        <f t="shared" si="170"/>
        <v>34</v>
      </c>
      <c r="CH64" s="9">
        <f t="shared" si="171"/>
        <v>-154314.2857143702</v>
      </c>
      <c r="CI64" s="8">
        <f t="shared" si="172"/>
        <v>-8.1036555723896175E-2</v>
      </c>
      <c r="CK64" s="11" t="s">
        <v>1</v>
      </c>
      <c r="CL64" s="11"/>
      <c r="CM64" s="10">
        <v>289</v>
      </c>
      <c r="CN64" s="9">
        <v>1654270.95238028</v>
      </c>
      <c r="CO64" s="10">
        <f t="shared" si="173"/>
        <v>-48</v>
      </c>
      <c r="CP64" s="9">
        <f t="shared" si="174"/>
        <v>-95669.999999899883</v>
      </c>
      <c r="CQ64" s="8">
        <f t="shared" si="175"/>
        <v>-5.4670416090196905E-2</v>
      </c>
      <c r="CS64" s="11" t="s">
        <v>1</v>
      </c>
      <c r="CT64" s="11"/>
      <c r="CU64" s="10">
        <v>318</v>
      </c>
      <c r="CV64" s="9">
        <v>2029104.7619039901</v>
      </c>
      <c r="CW64" s="10">
        <f t="shared" si="176"/>
        <v>29</v>
      </c>
      <c r="CX64" s="9">
        <f t="shared" si="177"/>
        <v>374833.80952371005</v>
      </c>
      <c r="CY64" s="8">
        <f t="shared" si="178"/>
        <v>0.2265854991797886</v>
      </c>
    </row>
    <row r="65" spans="1:103" s="1" customFormat="1" ht="20" customHeight="1">
      <c r="A65" s="5" t="s">
        <v>0</v>
      </c>
      <c r="B65" s="5"/>
      <c r="C65" s="4">
        <v>4013</v>
      </c>
      <c r="D65" s="3">
        <v>44631518.57142178</v>
      </c>
      <c r="E65" s="7"/>
      <c r="F65" s="6"/>
      <c r="G65" s="32"/>
      <c r="I65" s="5" t="s">
        <v>0</v>
      </c>
      <c r="J65" s="5"/>
      <c r="K65" s="4">
        <v>4433</v>
      </c>
      <c r="L65" s="3">
        <v>46848430.476183645</v>
      </c>
      <c r="M65" s="4">
        <f t="shared" si="143"/>
        <v>420</v>
      </c>
      <c r="N65" s="3">
        <f t="shared" si="144"/>
        <v>2216911.9047618657</v>
      </c>
      <c r="O65" s="2">
        <f t="shared" si="145"/>
        <v>4.9671442418304519E-2</v>
      </c>
      <c r="Q65" s="5" t="s">
        <v>0</v>
      </c>
      <c r="R65" s="5"/>
      <c r="S65" s="4">
        <v>3399</v>
      </c>
      <c r="T65" s="3">
        <v>36992435.714280151</v>
      </c>
      <c r="U65" s="4">
        <f t="shared" si="146"/>
        <v>-1034</v>
      </c>
      <c r="V65" s="3">
        <f t="shared" si="147"/>
        <v>-9855994.7619034946</v>
      </c>
      <c r="W65" s="2">
        <f t="shared" si="148"/>
        <v>-0.21038046870991742</v>
      </c>
      <c r="Y65" s="5" t="s">
        <v>0</v>
      </c>
      <c r="Z65" s="5"/>
      <c r="AA65" s="4">
        <v>2848</v>
      </c>
      <c r="AB65" s="3">
        <v>30068412.857137505</v>
      </c>
      <c r="AC65" s="4">
        <f t="shared" si="149"/>
        <v>-551</v>
      </c>
      <c r="AD65" s="3">
        <f t="shared" si="150"/>
        <v>-6924022.8571426459</v>
      </c>
      <c r="AE65" s="2">
        <f t="shared" si="151"/>
        <v>-0.18717401878108211</v>
      </c>
      <c r="AG65" s="5" t="s">
        <v>0</v>
      </c>
      <c r="AH65" s="5"/>
      <c r="AI65" s="4">
        <v>2187</v>
      </c>
      <c r="AJ65" s="3">
        <v>20315823.809519589</v>
      </c>
      <c r="AK65" s="4">
        <f t="shared" si="152"/>
        <v>-661</v>
      </c>
      <c r="AL65" s="3">
        <f t="shared" si="153"/>
        <v>-9752589.047617916</v>
      </c>
      <c r="AM65" s="2">
        <f t="shared" si="154"/>
        <v>-0.32434665221456443</v>
      </c>
      <c r="AO65" s="5" t="s">
        <v>0</v>
      </c>
      <c r="AP65" s="5"/>
      <c r="AQ65" s="4">
        <v>2662</v>
      </c>
      <c r="AR65" s="3">
        <v>25485864.761900138</v>
      </c>
      <c r="AS65" s="4">
        <f t="shared" si="155"/>
        <v>475</v>
      </c>
      <c r="AT65" s="3">
        <f t="shared" si="156"/>
        <v>5170040.9523805492</v>
      </c>
      <c r="AU65" s="2">
        <f t="shared" si="157"/>
        <v>0.25448345097174802</v>
      </c>
      <c r="AW65" s="5" t="s">
        <v>0</v>
      </c>
      <c r="AX65" s="5"/>
      <c r="AY65" s="4">
        <v>2557</v>
      </c>
      <c r="AZ65" s="3">
        <v>23163069.999995515</v>
      </c>
      <c r="BA65" s="4">
        <f t="shared" si="158"/>
        <v>-105</v>
      </c>
      <c r="BB65" s="3">
        <f t="shared" si="159"/>
        <v>-2322794.7619046234</v>
      </c>
      <c r="BC65" s="2">
        <f t="shared" si="160"/>
        <v>-9.1140511950650552E-2</v>
      </c>
      <c r="BE65" s="5" t="s">
        <v>0</v>
      </c>
      <c r="BF65" s="5"/>
      <c r="BG65" s="4">
        <v>2190</v>
      </c>
      <c r="BH65" s="3">
        <v>19414640.476186298</v>
      </c>
      <c r="BI65" s="4">
        <f t="shared" si="161"/>
        <v>-367</v>
      </c>
      <c r="BJ65" s="3">
        <f t="shared" si="162"/>
        <v>-3748429.5238092169</v>
      </c>
      <c r="BK65" s="2">
        <f t="shared" si="163"/>
        <v>-0.16182783732078446</v>
      </c>
      <c r="BL65" s="37"/>
      <c r="BM65" s="5" t="s">
        <v>0</v>
      </c>
      <c r="BN65" s="5"/>
      <c r="BO65" s="4">
        <v>2297</v>
      </c>
      <c r="BP65" s="3">
        <v>21016102.380948018</v>
      </c>
      <c r="BQ65" s="4">
        <f t="shared" si="164"/>
        <v>107</v>
      </c>
      <c r="BR65" s="3">
        <f t="shared" si="165"/>
        <v>1601461.9047617204</v>
      </c>
      <c r="BS65" s="2">
        <f t="shared" si="166"/>
        <v>8.2487332522384285E-2</v>
      </c>
      <c r="BU65" s="5" t="s">
        <v>0</v>
      </c>
      <c r="BV65" s="5"/>
      <c r="BW65" s="4">
        <v>2722</v>
      </c>
      <c r="BX65" s="3">
        <v>24432001.428566758</v>
      </c>
      <c r="BY65" s="4">
        <f t="shared" si="167"/>
        <v>425</v>
      </c>
      <c r="BZ65" s="3">
        <f t="shared" si="168"/>
        <v>3415899.0476187393</v>
      </c>
      <c r="CA65" s="2">
        <f t="shared" si="169"/>
        <v>0.16253722910654431</v>
      </c>
      <c r="CC65" s="5" t="s">
        <v>0</v>
      </c>
      <c r="CD65" s="5"/>
      <c r="CE65" s="4">
        <v>2883</v>
      </c>
      <c r="CF65" s="3">
        <v>24598463.809519216</v>
      </c>
      <c r="CG65" s="4">
        <f t="shared" si="170"/>
        <v>161</v>
      </c>
      <c r="CH65" s="3">
        <f t="shared" si="171"/>
        <v>166462.38095245883</v>
      </c>
      <c r="CI65" s="2">
        <f t="shared" si="172"/>
        <v>6.8132928626070373E-3</v>
      </c>
      <c r="CK65" s="5" t="s">
        <v>0</v>
      </c>
      <c r="CL65" s="5"/>
      <c r="CM65" s="4">
        <v>2741</v>
      </c>
      <c r="CN65" s="3">
        <v>22712922.380947553</v>
      </c>
      <c r="CO65" s="4">
        <f t="shared" si="173"/>
        <v>-142</v>
      </c>
      <c r="CP65" s="3">
        <f t="shared" si="174"/>
        <v>-1885541.4285716638</v>
      </c>
      <c r="CQ65" s="2">
        <f t="shared" si="175"/>
        <v>-7.665281227204071E-2</v>
      </c>
      <c r="CS65" s="5" t="s">
        <v>0</v>
      </c>
      <c r="CT65" s="5"/>
      <c r="CU65" s="4">
        <v>2654</v>
      </c>
      <c r="CV65" s="3">
        <v>23587668.095233493</v>
      </c>
      <c r="CW65" s="4">
        <f t="shared" si="176"/>
        <v>-87</v>
      </c>
      <c r="CX65" s="3">
        <f t="shared" si="177"/>
        <v>874745.71428593993</v>
      </c>
      <c r="CY65" s="2">
        <f t="shared" si="178"/>
        <v>3.8513129205236453E-2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" operator="containsText" id="{AC99CD97-F1A5-5542-9322-B54A033048D6}">
            <xm:f>NOT(ISERROR(SEARCH("-",E7)))</xm:f>
            <xm:f>"-"</xm:f>
            <x14:dxf>
              <font>
                <color rgb="FFFF0000"/>
              </font>
            </x14:dxf>
          </x14:cfRule>
          <xm:sqref>E7:G65</xm:sqref>
        </x14:conditionalFormatting>
        <x14:conditionalFormatting xmlns:xm="http://schemas.microsoft.com/office/excel/2006/main">
          <x14:cfRule type="containsText" priority="11" operator="containsText" id="{A2197088-E29B-8D46-A8BC-1F21D185FF05}">
            <xm:f>NOT(ISERROR(SEARCH("-",M7)))</xm:f>
            <xm:f>"-"</xm:f>
            <x14:dxf>
              <font>
                <color rgb="FFFF0000"/>
              </font>
            </x14:dxf>
          </x14:cfRule>
          <xm:sqref>M7:O65</xm:sqref>
        </x14:conditionalFormatting>
        <x14:conditionalFormatting xmlns:xm="http://schemas.microsoft.com/office/excel/2006/main">
          <x14:cfRule type="containsText" priority="10" operator="containsText" id="{DE94BEC4-566D-3644-B5C8-1ADC2FA867C7}">
            <xm:f>NOT(ISERROR(SEARCH("-",U7)))</xm:f>
            <xm:f>"-"</xm:f>
            <x14:dxf>
              <font>
                <color rgb="FFFF0000"/>
              </font>
            </x14:dxf>
          </x14:cfRule>
          <xm:sqref>U7:W65</xm:sqref>
        </x14:conditionalFormatting>
        <x14:conditionalFormatting xmlns:xm="http://schemas.microsoft.com/office/excel/2006/main">
          <x14:cfRule type="containsText" priority="1" operator="containsText" id="{F3C4954A-C134-C14F-81A6-C52B92191793}">
            <xm:f>NOT(ISERROR(SEARCH("-",AC7)))</xm:f>
            <xm:f>"-"</xm:f>
            <x14:dxf>
              <font>
                <color rgb="FFFF0000"/>
              </font>
            </x14:dxf>
          </x14:cfRule>
          <xm:sqref>AC7:AE65</xm:sqref>
        </x14:conditionalFormatting>
        <x14:conditionalFormatting xmlns:xm="http://schemas.microsoft.com/office/excel/2006/main">
          <x14:cfRule type="containsText" priority="9" operator="containsText" id="{96FC51F9-CD84-764C-B816-137DFDDA5552}">
            <xm:f>NOT(ISERROR(SEARCH("-",AK7)))</xm:f>
            <xm:f>"-"</xm:f>
            <x14:dxf>
              <font>
                <color rgb="FFFF0000"/>
              </font>
            </x14:dxf>
          </x14:cfRule>
          <xm:sqref>AK7:AM65</xm:sqref>
        </x14:conditionalFormatting>
        <x14:conditionalFormatting xmlns:xm="http://schemas.microsoft.com/office/excel/2006/main">
          <x14:cfRule type="containsText" priority="2" operator="containsText" id="{D31CB1A7-F35B-B24C-8C60-11784DEAB2AB}">
            <xm:f>NOT(ISERROR(SEARCH("-",AS7)))</xm:f>
            <xm:f>"-"</xm:f>
            <x14:dxf>
              <font>
                <color rgb="FFFF0000"/>
              </font>
            </x14:dxf>
          </x14:cfRule>
          <xm:sqref>AS7:AU65</xm:sqref>
        </x14:conditionalFormatting>
        <x14:conditionalFormatting xmlns:xm="http://schemas.microsoft.com/office/excel/2006/main">
          <x14:cfRule type="containsText" priority="7" operator="containsText" id="{AE2EFE3A-50E3-1846-B59B-A357FF736BCE}">
            <xm:f>NOT(ISERROR(SEARCH("-",BA7)))</xm:f>
            <xm:f>"-"</xm:f>
            <x14:dxf>
              <font>
                <color rgb="FFFF0000"/>
              </font>
            </x14:dxf>
          </x14:cfRule>
          <xm:sqref>BA7:BC65</xm:sqref>
        </x14:conditionalFormatting>
        <x14:conditionalFormatting xmlns:xm="http://schemas.microsoft.com/office/excel/2006/main">
          <x14:cfRule type="containsText" priority="8" operator="containsText" id="{7E144655-2994-E44A-AB10-EEE75757B873}">
            <xm:f>NOT(ISERROR(SEARCH("-",BI7)))</xm:f>
            <xm:f>"-"</xm:f>
            <x14:dxf>
              <font>
                <color rgb="FFFF0000"/>
              </font>
            </x14:dxf>
          </x14:cfRule>
          <xm:sqref>BI7:BK65</xm:sqref>
        </x14:conditionalFormatting>
        <x14:conditionalFormatting xmlns:xm="http://schemas.microsoft.com/office/excel/2006/main">
          <x14:cfRule type="containsText" priority="13" operator="containsText" id="{6115A08F-CA32-E745-8E98-2C8A3D23913E}">
            <xm:f>NOT(ISERROR(SEARCH("-",BQ7)))</xm:f>
            <xm:f>"-"</xm:f>
            <x14:dxf>
              <font>
                <color rgb="FFFF0000"/>
              </font>
            </x14:dxf>
          </x14:cfRule>
          <xm:sqref>BQ7:BS65</xm:sqref>
        </x14:conditionalFormatting>
        <x14:conditionalFormatting xmlns:xm="http://schemas.microsoft.com/office/excel/2006/main">
          <x14:cfRule type="containsText" priority="6" operator="containsText" id="{2F0EB31C-A79C-524D-9C7D-B5C097242ED2}">
            <xm:f>NOT(ISERROR(SEARCH("-",BY7)))</xm:f>
            <xm:f>"-"</xm:f>
            <x14:dxf>
              <font>
                <color rgb="FFFF0000"/>
              </font>
            </x14:dxf>
          </x14:cfRule>
          <xm:sqref>BY7:CA65</xm:sqref>
        </x14:conditionalFormatting>
        <x14:conditionalFormatting xmlns:xm="http://schemas.microsoft.com/office/excel/2006/main">
          <x14:cfRule type="containsText" priority="5" operator="containsText" id="{C748CC28-07BF-4D4D-926D-BF5E01D6FC04}">
            <xm:f>NOT(ISERROR(SEARCH("-",CG7)))</xm:f>
            <xm:f>"-"</xm:f>
            <x14:dxf>
              <font>
                <color rgb="FFFF0000"/>
              </font>
            </x14:dxf>
          </x14:cfRule>
          <xm:sqref>CG7:CI65</xm:sqref>
        </x14:conditionalFormatting>
        <x14:conditionalFormatting xmlns:xm="http://schemas.microsoft.com/office/excel/2006/main">
          <x14:cfRule type="containsText" priority="4" operator="containsText" id="{21A6880F-B1DF-F445-9067-3F17D15B5C66}">
            <xm:f>NOT(ISERROR(SEARCH("-",CO7)))</xm:f>
            <xm:f>"-"</xm:f>
            <x14:dxf>
              <font>
                <color rgb="FFFF0000"/>
              </font>
            </x14:dxf>
          </x14:cfRule>
          <xm:sqref>CO7:CQ65</xm:sqref>
        </x14:conditionalFormatting>
        <x14:conditionalFormatting xmlns:xm="http://schemas.microsoft.com/office/excel/2006/main">
          <x14:cfRule type="containsText" priority="3" operator="containsText" id="{68D334B9-FA2B-F248-A955-CF085C059993}">
            <xm:f>NOT(ISERROR(SEARCH("-",CW7)))</xm:f>
            <xm:f>"-"</xm:f>
            <x14:dxf>
              <font>
                <color rgb="FFFF0000"/>
              </font>
            </x14:dxf>
          </x14:cfRule>
          <xm:sqref>CW7:CY65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25Q1T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家豐 張</dc:creator>
  <cp:lastModifiedBy>家豐 張</cp:lastModifiedBy>
  <dcterms:created xsi:type="dcterms:W3CDTF">2025-09-29T12:17:57Z</dcterms:created>
  <dcterms:modified xsi:type="dcterms:W3CDTF">2025-11-22T09:46:44Z</dcterms:modified>
</cp:coreProperties>
</file>