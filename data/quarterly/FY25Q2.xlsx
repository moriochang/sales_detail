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26Q1/"/>
    </mc:Choice>
  </mc:AlternateContent>
  <xr:revisionPtr revIDLastSave="0" documentId="13_ncr:1_{6FA54660-513C-5548-8D5B-4801A41714C0}" xr6:coauthVersionLast="47" xr6:coauthVersionMax="47" xr10:uidLastSave="{00000000-0000-0000-0000-000000000000}"/>
  <bookViews>
    <workbookView xWindow="20" yWindow="740" windowWidth="23560" windowHeight="20140" xr2:uid="{021FACC0-6583-9245-81B4-0A7BE4D712CF}"/>
  </bookViews>
  <sheets>
    <sheet name="25Q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41" i="4" l="1"/>
  <c r="CO41" i="4"/>
  <c r="CG41" i="4"/>
  <c r="BY41" i="4"/>
  <c r="CV16" i="4"/>
  <c r="CU16" i="4"/>
  <c r="CN16" i="4"/>
  <c r="CM16" i="4"/>
  <c r="BS53" i="4"/>
  <c r="BR53" i="4"/>
  <c r="BQ53" i="4"/>
  <c r="BK53" i="4"/>
  <c r="BJ53" i="4"/>
  <c r="BI53" i="4"/>
  <c r="BC53" i="4"/>
  <c r="BB53" i="4"/>
  <c r="BA53" i="4"/>
  <c r="AU53" i="4"/>
  <c r="AT53" i="4"/>
  <c r="AS53" i="4"/>
  <c r="AM53" i="4"/>
  <c r="AL53" i="4"/>
  <c r="AK53" i="4"/>
  <c r="AE53" i="4"/>
  <c r="AD53" i="4"/>
  <c r="AC53" i="4"/>
  <c r="W53" i="4"/>
  <c r="V53" i="4"/>
  <c r="U53" i="4"/>
  <c r="O53" i="4"/>
  <c r="N53" i="4"/>
  <c r="M53" i="4"/>
  <c r="BS41" i="4"/>
  <c r="BR41" i="4"/>
  <c r="BQ41" i="4"/>
  <c r="BK41" i="4"/>
  <c r="BJ41" i="4"/>
  <c r="BI41" i="4"/>
  <c r="BC41" i="4"/>
  <c r="BB41" i="4"/>
  <c r="BA41" i="4"/>
  <c r="BS18" i="4"/>
  <c r="BR18" i="4"/>
  <c r="BQ18" i="4"/>
  <c r="BK18" i="4"/>
  <c r="BJ18" i="4"/>
  <c r="BI18" i="4"/>
  <c r="BC18" i="4"/>
  <c r="BB18" i="4"/>
  <c r="BA18" i="4"/>
  <c r="BS6" i="4"/>
  <c r="BR6" i="4"/>
  <c r="BQ6" i="4"/>
  <c r="BK6" i="4"/>
  <c r="BJ6" i="4"/>
  <c r="BI6" i="4"/>
  <c r="BC6" i="4"/>
  <c r="BB6" i="4"/>
  <c r="BA6" i="4"/>
  <c r="AU6" i="4"/>
  <c r="AT6" i="4"/>
  <c r="AS6" i="4"/>
  <c r="AM6" i="4"/>
  <c r="AL6" i="4"/>
  <c r="AK6" i="4"/>
  <c r="AE6" i="4"/>
  <c r="AD6" i="4"/>
  <c r="AC6" i="4"/>
  <c r="W6" i="4"/>
  <c r="V6" i="4"/>
  <c r="U6" i="4"/>
  <c r="O6" i="4"/>
  <c r="N6" i="4"/>
  <c r="M6" i="4"/>
  <c r="BS5" i="4"/>
  <c r="BR5" i="4"/>
  <c r="BQ5" i="4"/>
  <c r="BK5" i="4"/>
  <c r="BJ5" i="4"/>
  <c r="BI5" i="4"/>
  <c r="BC5" i="4"/>
  <c r="BB5" i="4"/>
  <c r="BA5" i="4"/>
  <c r="BZ7" i="4"/>
  <c r="CA7" i="4"/>
  <c r="BZ8" i="4"/>
  <c r="CA8" i="4"/>
  <c r="BZ9" i="4"/>
  <c r="CA9" i="4"/>
  <c r="BZ10" i="4"/>
  <c r="CA10" i="4"/>
  <c r="BZ11" i="4"/>
  <c r="CA11" i="4"/>
  <c r="BZ12" i="4"/>
  <c r="CA12" i="4"/>
  <c r="BZ13" i="4"/>
  <c r="CA13" i="4"/>
  <c r="BZ14" i="4"/>
  <c r="CA14" i="4"/>
  <c r="BZ15" i="4"/>
  <c r="CA15" i="4"/>
  <c r="BZ16" i="4"/>
  <c r="CA16" i="4"/>
  <c r="M7" i="4"/>
  <c r="N7" i="4"/>
  <c r="O7" i="4"/>
  <c r="U7" i="4"/>
  <c r="V7" i="4"/>
  <c r="W7" i="4"/>
  <c r="M8" i="4"/>
  <c r="N8" i="4"/>
  <c r="O8" i="4"/>
  <c r="U8" i="4"/>
  <c r="V8" i="4"/>
  <c r="W8" i="4"/>
  <c r="M9" i="4"/>
  <c r="N9" i="4"/>
  <c r="O9" i="4"/>
  <c r="U9" i="4"/>
  <c r="V9" i="4"/>
  <c r="W9" i="4"/>
  <c r="M10" i="4"/>
  <c r="N10" i="4"/>
  <c r="O10" i="4"/>
  <c r="U10" i="4"/>
  <c r="V10" i="4"/>
  <c r="W10" i="4"/>
  <c r="M11" i="4"/>
  <c r="N11" i="4"/>
  <c r="O11" i="4"/>
  <c r="U11" i="4"/>
  <c r="V11" i="4"/>
  <c r="W11" i="4"/>
  <c r="M12" i="4"/>
  <c r="N12" i="4"/>
  <c r="O12" i="4"/>
  <c r="U12" i="4"/>
  <c r="V12" i="4"/>
  <c r="W12" i="4"/>
  <c r="M13" i="4"/>
  <c r="N13" i="4"/>
  <c r="O13" i="4"/>
  <c r="U13" i="4"/>
  <c r="V13" i="4"/>
  <c r="W13" i="4"/>
  <c r="M14" i="4"/>
  <c r="N14" i="4"/>
  <c r="O14" i="4"/>
  <c r="U14" i="4"/>
  <c r="V14" i="4"/>
  <c r="W14" i="4"/>
  <c r="M15" i="4"/>
  <c r="N15" i="4"/>
  <c r="O15" i="4"/>
  <c r="U15" i="4"/>
  <c r="V15" i="4"/>
  <c r="W15" i="4"/>
  <c r="M16" i="4"/>
  <c r="N16" i="4"/>
  <c r="O16" i="4"/>
  <c r="U16" i="4"/>
  <c r="V16" i="4"/>
  <c r="W16" i="4"/>
  <c r="M19" i="4"/>
  <c r="N19" i="4"/>
  <c r="O19" i="4"/>
  <c r="U19" i="4"/>
  <c r="V19" i="4"/>
  <c r="W19" i="4"/>
  <c r="M20" i="4"/>
  <c r="N20" i="4"/>
  <c r="O20" i="4"/>
  <c r="U20" i="4"/>
  <c r="V20" i="4"/>
  <c r="W20" i="4"/>
  <c r="M21" i="4"/>
  <c r="N21" i="4"/>
  <c r="O21" i="4"/>
  <c r="U21" i="4"/>
  <c r="V21" i="4"/>
  <c r="W21" i="4"/>
  <c r="M22" i="4"/>
  <c r="N22" i="4"/>
  <c r="O22" i="4"/>
  <c r="U22" i="4"/>
  <c r="V22" i="4"/>
  <c r="W22" i="4"/>
  <c r="M23" i="4"/>
  <c r="N23" i="4"/>
  <c r="O23" i="4"/>
  <c r="U23" i="4"/>
  <c r="V23" i="4"/>
  <c r="W23" i="4"/>
  <c r="M24" i="4"/>
  <c r="N24" i="4"/>
  <c r="O24" i="4"/>
  <c r="U24" i="4"/>
  <c r="V24" i="4"/>
  <c r="W24" i="4"/>
  <c r="M25" i="4"/>
  <c r="N25" i="4"/>
  <c r="O25" i="4"/>
  <c r="U25" i="4"/>
  <c r="V25" i="4"/>
  <c r="W25" i="4"/>
  <c r="M26" i="4"/>
  <c r="N26" i="4"/>
  <c r="O26" i="4"/>
  <c r="U26" i="4"/>
  <c r="V26" i="4"/>
  <c r="W26" i="4"/>
  <c r="M27" i="4"/>
  <c r="N27" i="4"/>
  <c r="O27" i="4"/>
  <c r="U27" i="4"/>
  <c r="V27" i="4"/>
  <c r="W27" i="4"/>
  <c r="M28" i="4"/>
  <c r="N28" i="4"/>
  <c r="O28" i="4"/>
  <c r="U28" i="4"/>
  <c r="V28" i="4"/>
  <c r="W28" i="4"/>
  <c r="M31" i="4"/>
  <c r="N31" i="4"/>
  <c r="O31" i="4"/>
  <c r="U31" i="4"/>
  <c r="V31" i="4"/>
  <c r="W31" i="4"/>
  <c r="M32" i="4"/>
  <c r="N32" i="4"/>
  <c r="O32" i="4"/>
  <c r="U32" i="4"/>
  <c r="V32" i="4"/>
  <c r="W32" i="4"/>
  <c r="M33" i="4"/>
  <c r="N33" i="4"/>
  <c r="O33" i="4"/>
  <c r="U33" i="4"/>
  <c r="V33" i="4"/>
  <c r="W33" i="4"/>
  <c r="M34" i="4"/>
  <c r="N34" i="4"/>
  <c r="O34" i="4"/>
  <c r="U34" i="4"/>
  <c r="V34" i="4"/>
  <c r="W34" i="4"/>
  <c r="M35" i="4"/>
  <c r="N35" i="4"/>
  <c r="O35" i="4"/>
  <c r="U35" i="4"/>
  <c r="V35" i="4"/>
  <c r="W35" i="4"/>
  <c r="M36" i="4"/>
  <c r="N36" i="4"/>
  <c r="O36" i="4"/>
  <c r="U36" i="4"/>
  <c r="V36" i="4"/>
  <c r="W36" i="4"/>
  <c r="M37" i="4"/>
  <c r="N37" i="4"/>
  <c r="O37" i="4"/>
  <c r="U37" i="4"/>
  <c r="V37" i="4"/>
  <c r="W37" i="4"/>
  <c r="M38" i="4"/>
  <c r="N38" i="4"/>
  <c r="O38" i="4"/>
  <c r="U38" i="4"/>
  <c r="V38" i="4"/>
  <c r="W38" i="4"/>
  <c r="M39" i="4"/>
  <c r="N39" i="4"/>
  <c r="O39" i="4"/>
  <c r="U39" i="4"/>
  <c r="V39" i="4"/>
  <c r="W39" i="4"/>
  <c r="M40" i="4"/>
  <c r="N40" i="4"/>
  <c r="O40" i="4"/>
  <c r="U40" i="4"/>
  <c r="V40" i="4"/>
  <c r="W40" i="4"/>
  <c r="M43" i="4"/>
  <c r="N43" i="4"/>
  <c r="O43" i="4"/>
  <c r="U43" i="4"/>
  <c r="V43" i="4"/>
  <c r="W43" i="4"/>
  <c r="M44" i="4"/>
  <c r="N44" i="4"/>
  <c r="O44" i="4"/>
  <c r="U44" i="4"/>
  <c r="V44" i="4"/>
  <c r="W44" i="4"/>
  <c r="M45" i="4"/>
  <c r="N45" i="4"/>
  <c r="O45" i="4"/>
  <c r="U45" i="4"/>
  <c r="V45" i="4"/>
  <c r="W45" i="4"/>
  <c r="M46" i="4"/>
  <c r="N46" i="4"/>
  <c r="O46" i="4"/>
  <c r="U46" i="4"/>
  <c r="V46" i="4"/>
  <c r="W46" i="4"/>
  <c r="M47" i="4"/>
  <c r="N47" i="4"/>
  <c r="O47" i="4"/>
  <c r="U47" i="4"/>
  <c r="V47" i="4"/>
  <c r="W47" i="4"/>
  <c r="M48" i="4"/>
  <c r="N48" i="4"/>
  <c r="O48" i="4"/>
  <c r="U48" i="4"/>
  <c r="V48" i="4"/>
  <c r="W48" i="4"/>
  <c r="M49" i="4"/>
  <c r="N49" i="4"/>
  <c r="O49" i="4"/>
  <c r="U49" i="4"/>
  <c r="V49" i="4"/>
  <c r="W49" i="4"/>
  <c r="M50" i="4"/>
  <c r="N50" i="4"/>
  <c r="O50" i="4"/>
  <c r="U50" i="4"/>
  <c r="V50" i="4"/>
  <c r="W50" i="4"/>
  <c r="M51" i="4"/>
  <c r="N51" i="4"/>
  <c r="O51" i="4"/>
  <c r="U51" i="4"/>
  <c r="V51" i="4"/>
  <c r="W51" i="4"/>
  <c r="M52" i="4"/>
  <c r="N52" i="4"/>
  <c r="O52" i="4"/>
  <c r="U52" i="4"/>
  <c r="V52" i="4"/>
  <c r="W52" i="4"/>
  <c r="M55" i="4"/>
  <c r="N55" i="4"/>
  <c r="O55" i="4"/>
  <c r="U55" i="4"/>
  <c r="V55" i="4"/>
  <c r="W55" i="4"/>
  <c r="M56" i="4"/>
  <c r="N56" i="4"/>
  <c r="O56" i="4"/>
  <c r="U56" i="4"/>
  <c r="V56" i="4"/>
  <c r="W56" i="4"/>
  <c r="M57" i="4"/>
  <c r="N57" i="4"/>
  <c r="O57" i="4"/>
  <c r="U57" i="4"/>
  <c r="V57" i="4"/>
  <c r="W57" i="4"/>
  <c r="M58" i="4"/>
  <c r="N58" i="4"/>
  <c r="O58" i="4"/>
  <c r="U58" i="4"/>
  <c r="V58" i="4"/>
  <c r="W58" i="4"/>
  <c r="M59" i="4"/>
  <c r="N59" i="4"/>
  <c r="O59" i="4"/>
  <c r="U59" i="4"/>
  <c r="V59" i="4"/>
  <c r="W59" i="4"/>
  <c r="M60" i="4"/>
  <c r="N60" i="4"/>
  <c r="O60" i="4"/>
  <c r="U60" i="4"/>
  <c r="V60" i="4"/>
  <c r="W60" i="4"/>
  <c r="M61" i="4"/>
  <c r="N61" i="4"/>
  <c r="O61" i="4"/>
  <c r="U61" i="4"/>
  <c r="V61" i="4"/>
  <c r="W61" i="4"/>
  <c r="M62" i="4"/>
  <c r="N62" i="4"/>
  <c r="O62" i="4"/>
  <c r="U62" i="4"/>
  <c r="V62" i="4"/>
  <c r="W62" i="4"/>
  <c r="M63" i="4"/>
  <c r="N63" i="4"/>
  <c r="O63" i="4"/>
  <c r="U63" i="4"/>
  <c r="V63" i="4"/>
  <c r="W63" i="4"/>
  <c r="M64" i="4"/>
  <c r="N64" i="4"/>
  <c r="O64" i="4"/>
  <c r="U64" i="4"/>
  <c r="V64" i="4"/>
  <c r="W64" i="4"/>
  <c r="M65" i="4"/>
  <c r="N65" i="4"/>
  <c r="O65" i="4"/>
  <c r="U65" i="4"/>
  <c r="V65" i="4"/>
  <c r="W65" i="4"/>
  <c r="AC7" i="4"/>
  <c r="AD7" i="4"/>
  <c r="AE7" i="4"/>
  <c r="AK7" i="4"/>
  <c r="AL7" i="4"/>
  <c r="AM7" i="4"/>
  <c r="AS7" i="4"/>
  <c r="AT7" i="4"/>
  <c r="AU7" i="4"/>
  <c r="BA7" i="4"/>
  <c r="BB7" i="4"/>
  <c r="BC7" i="4"/>
  <c r="BI7" i="4"/>
  <c r="BJ7" i="4"/>
  <c r="BK7" i="4"/>
  <c r="BQ7" i="4"/>
  <c r="BR7" i="4"/>
  <c r="BS7" i="4"/>
  <c r="BY7" i="4"/>
  <c r="CG7" i="4"/>
  <c r="CH7" i="4"/>
  <c r="CI7" i="4"/>
  <c r="CO7" i="4"/>
  <c r="CP7" i="4"/>
  <c r="CQ7" i="4"/>
  <c r="CW7" i="4"/>
  <c r="CX7" i="4"/>
  <c r="CY7" i="4"/>
  <c r="AC8" i="4"/>
  <c r="AD8" i="4"/>
  <c r="AE8" i="4"/>
  <c r="AK8" i="4"/>
  <c r="AL8" i="4"/>
  <c r="AM8" i="4"/>
  <c r="AS8" i="4"/>
  <c r="AT8" i="4"/>
  <c r="AU8" i="4"/>
  <c r="BA8" i="4"/>
  <c r="BB8" i="4"/>
  <c r="BC8" i="4"/>
  <c r="BI8" i="4"/>
  <c r="BJ8" i="4"/>
  <c r="BK8" i="4"/>
  <c r="BQ8" i="4"/>
  <c r="BR8" i="4"/>
  <c r="BS8" i="4"/>
  <c r="BY8" i="4"/>
  <c r="CG8" i="4"/>
  <c r="CH8" i="4"/>
  <c r="CI8" i="4"/>
  <c r="CO8" i="4"/>
  <c r="CP8" i="4"/>
  <c r="CQ8" i="4"/>
  <c r="CW8" i="4"/>
  <c r="CX8" i="4"/>
  <c r="CY8" i="4"/>
  <c r="AC9" i="4"/>
  <c r="AD9" i="4"/>
  <c r="AE9" i="4"/>
  <c r="AK9" i="4"/>
  <c r="AL9" i="4"/>
  <c r="AM9" i="4"/>
  <c r="AS9" i="4"/>
  <c r="AT9" i="4"/>
  <c r="AU9" i="4"/>
  <c r="BA9" i="4"/>
  <c r="BB9" i="4"/>
  <c r="BC9" i="4"/>
  <c r="BI9" i="4"/>
  <c r="BJ9" i="4"/>
  <c r="BK9" i="4"/>
  <c r="BQ9" i="4"/>
  <c r="BR9" i="4"/>
  <c r="BS9" i="4"/>
  <c r="BY9" i="4"/>
  <c r="CG9" i="4"/>
  <c r="CH9" i="4"/>
  <c r="CI9" i="4"/>
  <c r="CO9" i="4"/>
  <c r="CP9" i="4"/>
  <c r="CQ9" i="4"/>
  <c r="CW9" i="4"/>
  <c r="CX9" i="4"/>
  <c r="CY9" i="4"/>
  <c r="AC10" i="4"/>
  <c r="AD10" i="4"/>
  <c r="AE10" i="4"/>
  <c r="AK10" i="4"/>
  <c r="AL10" i="4"/>
  <c r="AM10" i="4"/>
  <c r="AS10" i="4"/>
  <c r="AT10" i="4"/>
  <c r="AU10" i="4"/>
  <c r="BA10" i="4"/>
  <c r="BB10" i="4"/>
  <c r="BC10" i="4"/>
  <c r="BI10" i="4"/>
  <c r="BJ10" i="4"/>
  <c r="BK10" i="4"/>
  <c r="BQ10" i="4"/>
  <c r="BR10" i="4"/>
  <c r="BS10" i="4"/>
  <c r="BY10" i="4"/>
  <c r="CG10" i="4"/>
  <c r="CH10" i="4"/>
  <c r="CI10" i="4"/>
  <c r="CO10" i="4"/>
  <c r="CP10" i="4"/>
  <c r="CQ10" i="4"/>
  <c r="CW10" i="4"/>
  <c r="CX10" i="4"/>
  <c r="CY10" i="4"/>
  <c r="AC11" i="4"/>
  <c r="AD11" i="4"/>
  <c r="AE11" i="4"/>
  <c r="AK11" i="4"/>
  <c r="AL11" i="4"/>
  <c r="AM11" i="4"/>
  <c r="AS11" i="4"/>
  <c r="AT11" i="4"/>
  <c r="AU11" i="4"/>
  <c r="BA11" i="4"/>
  <c r="BB11" i="4"/>
  <c r="BC11" i="4"/>
  <c r="BI11" i="4"/>
  <c r="BJ11" i="4"/>
  <c r="BK11" i="4"/>
  <c r="BQ11" i="4"/>
  <c r="BR11" i="4"/>
  <c r="BS11" i="4"/>
  <c r="BY11" i="4"/>
  <c r="CG11" i="4"/>
  <c r="CH11" i="4"/>
  <c r="CI11" i="4"/>
  <c r="CO11" i="4"/>
  <c r="CP11" i="4"/>
  <c r="CQ11" i="4"/>
  <c r="CW11" i="4"/>
  <c r="CX11" i="4"/>
  <c r="CY11" i="4"/>
  <c r="AC12" i="4"/>
  <c r="AD12" i="4"/>
  <c r="AE12" i="4"/>
  <c r="AK12" i="4"/>
  <c r="AL12" i="4"/>
  <c r="AM12" i="4"/>
  <c r="AS12" i="4"/>
  <c r="AT12" i="4"/>
  <c r="AU12" i="4"/>
  <c r="BA12" i="4"/>
  <c r="BB12" i="4"/>
  <c r="BC12" i="4"/>
  <c r="BI12" i="4"/>
  <c r="BJ12" i="4"/>
  <c r="BK12" i="4"/>
  <c r="BQ12" i="4"/>
  <c r="BR12" i="4"/>
  <c r="BS12" i="4"/>
  <c r="BY12" i="4"/>
  <c r="CG12" i="4"/>
  <c r="CH12" i="4"/>
  <c r="CI12" i="4"/>
  <c r="CO12" i="4"/>
  <c r="CP12" i="4"/>
  <c r="CQ12" i="4"/>
  <c r="CW12" i="4"/>
  <c r="CX12" i="4"/>
  <c r="CY12" i="4"/>
  <c r="AC13" i="4"/>
  <c r="AD13" i="4"/>
  <c r="AE13" i="4"/>
  <c r="AK13" i="4"/>
  <c r="AL13" i="4"/>
  <c r="AM13" i="4"/>
  <c r="AS13" i="4"/>
  <c r="AT13" i="4"/>
  <c r="AU13" i="4"/>
  <c r="BA13" i="4"/>
  <c r="BB13" i="4"/>
  <c r="BC13" i="4"/>
  <c r="BI13" i="4"/>
  <c r="BJ13" i="4"/>
  <c r="BK13" i="4"/>
  <c r="BQ13" i="4"/>
  <c r="BR13" i="4"/>
  <c r="BS13" i="4"/>
  <c r="BY13" i="4"/>
  <c r="CG13" i="4"/>
  <c r="CH13" i="4"/>
  <c r="CI13" i="4"/>
  <c r="CO13" i="4"/>
  <c r="CP13" i="4"/>
  <c r="CQ13" i="4"/>
  <c r="CW13" i="4"/>
  <c r="CX13" i="4"/>
  <c r="CY13" i="4"/>
  <c r="AC14" i="4"/>
  <c r="AD14" i="4"/>
  <c r="AE14" i="4"/>
  <c r="AK14" i="4"/>
  <c r="AL14" i="4"/>
  <c r="AM14" i="4"/>
  <c r="AS14" i="4"/>
  <c r="AT14" i="4"/>
  <c r="AU14" i="4"/>
  <c r="BA14" i="4"/>
  <c r="BB14" i="4"/>
  <c r="BC14" i="4"/>
  <c r="BI14" i="4"/>
  <c r="BJ14" i="4"/>
  <c r="BK14" i="4"/>
  <c r="BQ14" i="4"/>
  <c r="BR14" i="4"/>
  <c r="BS14" i="4"/>
  <c r="BY14" i="4"/>
  <c r="CG14" i="4"/>
  <c r="CH14" i="4"/>
  <c r="CI14" i="4"/>
  <c r="CO14" i="4"/>
  <c r="CP14" i="4"/>
  <c r="CQ14" i="4"/>
  <c r="CW14" i="4"/>
  <c r="CX14" i="4"/>
  <c r="CY14" i="4"/>
  <c r="AC15" i="4"/>
  <c r="AD15" i="4"/>
  <c r="AE15" i="4"/>
  <c r="AK15" i="4"/>
  <c r="AL15" i="4"/>
  <c r="AM15" i="4"/>
  <c r="AS15" i="4"/>
  <c r="AT15" i="4"/>
  <c r="AU15" i="4"/>
  <c r="BA15" i="4"/>
  <c r="BB15" i="4"/>
  <c r="BC15" i="4"/>
  <c r="BI15" i="4"/>
  <c r="BJ15" i="4"/>
  <c r="BK15" i="4"/>
  <c r="BQ15" i="4"/>
  <c r="BR15" i="4"/>
  <c r="BS15" i="4"/>
  <c r="BY15" i="4"/>
  <c r="CG15" i="4"/>
  <c r="CH15" i="4"/>
  <c r="CI15" i="4"/>
  <c r="CO15" i="4"/>
  <c r="CP15" i="4"/>
  <c r="CQ15" i="4"/>
  <c r="CW15" i="4"/>
  <c r="CX15" i="4"/>
  <c r="CY15" i="4"/>
  <c r="AC16" i="4"/>
  <c r="AD16" i="4"/>
  <c r="AE16" i="4"/>
  <c r="AK16" i="4"/>
  <c r="AL16" i="4"/>
  <c r="AM16" i="4"/>
  <c r="AS16" i="4"/>
  <c r="AT16" i="4"/>
  <c r="AU16" i="4"/>
  <c r="BA16" i="4"/>
  <c r="BB16" i="4"/>
  <c r="BC16" i="4"/>
  <c r="BI16" i="4"/>
  <c r="BJ16" i="4"/>
  <c r="BK16" i="4"/>
  <c r="BQ16" i="4"/>
  <c r="BR16" i="4"/>
  <c r="BS16" i="4"/>
  <c r="BY16" i="4"/>
  <c r="CG16" i="4"/>
  <c r="CH16" i="4"/>
  <c r="CI16" i="4"/>
  <c r="CP16" i="4"/>
  <c r="CQ16" i="4"/>
  <c r="AC19" i="4"/>
  <c r="AD19" i="4"/>
  <c r="AE19" i="4"/>
  <c r="AK19" i="4"/>
  <c r="AL19" i="4"/>
  <c r="AM19" i="4"/>
  <c r="AS19" i="4"/>
  <c r="AT19" i="4"/>
  <c r="AU19" i="4"/>
  <c r="BA19" i="4"/>
  <c r="BB19" i="4"/>
  <c r="BC19" i="4"/>
  <c r="BI19" i="4"/>
  <c r="BJ19" i="4"/>
  <c r="BK19" i="4"/>
  <c r="BQ19" i="4"/>
  <c r="BR19" i="4"/>
  <c r="BS19" i="4"/>
  <c r="BY19" i="4"/>
  <c r="BZ19" i="4"/>
  <c r="CA19" i="4"/>
  <c r="CG19" i="4"/>
  <c r="CH19" i="4"/>
  <c r="CI19" i="4"/>
  <c r="CO19" i="4"/>
  <c r="CP19" i="4"/>
  <c r="CQ19" i="4"/>
  <c r="CW19" i="4"/>
  <c r="CX19" i="4"/>
  <c r="CY19" i="4"/>
  <c r="AC20" i="4"/>
  <c r="AD20" i="4"/>
  <c r="AE20" i="4"/>
  <c r="AK20" i="4"/>
  <c r="AL20" i="4"/>
  <c r="AM20" i="4"/>
  <c r="AS20" i="4"/>
  <c r="AT20" i="4"/>
  <c r="AU20" i="4"/>
  <c r="BA20" i="4"/>
  <c r="BB20" i="4"/>
  <c r="BC20" i="4"/>
  <c r="BI20" i="4"/>
  <c r="BJ20" i="4"/>
  <c r="BK20" i="4"/>
  <c r="BQ20" i="4"/>
  <c r="BR20" i="4"/>
  <c r="BS20" i="4"/>
  <c r="BY20" i="4"/>
  <c r="BZ20" i="4"/>
  <c r="CA20" i="4"/>
  <c r="CG20" i="4"/>
  <c r="CH20" i="4"/>
  <c r="CI20" i="4"/>
  <c r="CO20" i="4"/>
  <c r="CP20" i="4"/>
  <c r="CQ20" i="4"/>
  <c r="CW20" i="4"/>
  <c r="CX20" i="4"/>
  <c r="CY20" i="4"/>
  <c r="AC21" i="4"/>
  <c r="AD21" i="4"/>
  <c r="AE21" i="4"/>
  <c r="AK21" i="4"/>
  <c r="AL21" i="4"/>
  <c r="AM21" i="4"/>
  <c r="AS21" i="4"/>
  <c r="AT21" i="4"/>
  <c r="AU21" i="4"/>
  <c r="BA21" i="4"/>
  <c r="BB21" i="4"/>
  <c r="BC21" i="4"/>
  <c r="BI21" i="4"/>
  <c r="BJ21" i="4"/>
  <c r="BK21" i="4"/>
  <c r="BQ21" i="4"/>
  <c r="BR21" i="4"/>
  <c r="BS21" i="4"/>
  <c r="BY21" i="4"/>
  <c r="BZ21" i="4"/>
  <c r="CA21" i="4"/>
  <c r="CG21" i="4"/>
  <c r="CH21" i="4"/>
  <c r="CI21" i="4"/>
  <c r="CO21" i="4"/>
  <c r="CP21" i="4"/>
  <c r="CQ21" i="4"/>
  <c r="CW21" i="4"/>
  <c r="CX21" i="4"/>
  <c r="CY21" i="4"/>
  <c r="AC22" i="4"/>
  <c r="AD22" i="4"/>
  <c r="AE22" i="4"/>
  <c r="AK22" i="4"/>
  <c r="AL22" i="4"/>
  <c r="AM22" i="4"/>
  <c r="AS22" i="4"/>
  <c r="AT22" i="4"/>
  <c r="AU22" i="4"/>
  <c r="BA22" i="4"/>
  <c r="BB22" i="4"/>
  <c r="BC22" i="4"/>
  <c r="BI22" i="4"/>
  <c r="BJ22" i="4"/>
  <c r="BK22" i="4"/>
  <c r="BQ22" i="4"/>
  <c r="BR22" i="4"/>
  <c r="BS22" i="4"/>
  <c r="BY22" i="4"/>
  <c r="BZ22" i="4"/>
  <c r="CA22" i="4"/>
  <c r="CG22" i="4"/>
  <c r="CH22" i="4"/>
  <c r="CI22" i="4"/>
  <c r="CO22" i="4"/>
  <c r="CP22" i="4"/>
  <c r="CQ22" i="4"/>
  <c r="CW22" i="4"/>
  <c r="CX22" i="4"/>
  <c r="CY22" i="4"/>
  <c r="AC23" i="4"/>
  <c r="AD23" i="4"/>
  <c r="AE23" i="4"/>
  <c r="AK23" i="4"/>
  <c r="AL23" i="4"/>
  <c r="AM23" i="4"/>
  <c r="AS23" i="4"/>
  <c r="AT23" i="4"/>
  <c r="AU23" i="4"/>
  <c r="BA23" i="4"/>
  <c r="BB23" i="4"/>
  <c r="BC23" i="4"/>
  <c r="BI23" i="4"/>
  <c r="BJ23" i="4"/>
  <c r="BK23" i="4"/>
  <c r="BQ23" i="4"/>
  <c r="BR23" i="4"/>
  <c r="BS23" i="4"/>
  <c r="BY23" i="4"/>
  <c r="BZ23" i="4"/>
  <c r="CA23" i="4"/>
  <c r="CG23" i="4"/>
  <c r="CH23" i="4"/>
  <c r="CI23" i="4"/>
  <c r="CO23" i="4"/>
  <c r="CP23" i="4"/>
  <c r="CQ23" i="4"/>
  <c r="CW23" i="4"/>
  <c r="CX23" i="4"/>
  <c r="CY23" i="4"/>
  <c r="AC24" i="4"/>
  <c r="AD24" i="4"/>
  <c r="AE24" i="4"/>
  <c r="AK24" i="4"/>
  <c r="AL24" i="4"/>
  <c r="AM24" i="4"/>
  <c r="AT24" i="4"/>
  <c r="AU24" i="4"/>
  <c r="BA24" i="4"/>
  <c r="BB24" i="4"/>
  <c r="BC24" i="4"/>
  <c r="BI24" i="4"/>
  <c r="BJ24" i="4"/>
  <c r="BK24" i="4"/>
  <c r="BQ24" i="4"/>
  <c r="BR24" i="4"/>
  <c r="BS24" i="4"/>
  <c r="BY24" i="4"/>
  <c r="BZ24" i="4"/>
  <c r="CA24" i="4"/>
  <c r="CG24" i="4"/>
  <c r="CH24" i="4"/>
  <c r="CI24" i="4"/>
  <c r="CO24" i="4"/>
  <c r="CP24" i="4"/>
  <c r="CQ24" i="4"/>
  <c r="CW24" i="4"/>
  <c r="CX24" i="4"/>
  <c r="CY24" i="4"/>
  <c r="AC25" i="4"/>
  <c r="AD25" i="4"/>
  <c r="AE25" i="4"/>
  <c r="AK25" i="4"/>
  <c r="AL25" i="4"/>
  <c r="AM25" i="4"/>
  <c r="AT25" i="4"/>
  <c r="AU25" i="4"/>
  <c r="BA25" i="4"/>
  <c r="BB25" i="4"/>
  <c r="BC25" i="4"/>
  <c r="BI25" i="4"/>
  <c r="BJ25" i="4"/>
  <c r="BK25" i="4"/>
  <c r="BQ25" i="4"/>
  <c r="BR25" i="4"/>
  <c r="BS25" i="4"/>
  <c r="BY25" i="4"/>
  <c r="BZ25" i="4"/>
  <c r="CA25" i="4"/>
  <c r="CG25" i="4"/>
  <c r="CH25" i="4"/>
  <c r="CI25" i="4"/>
  <c r="CO25" i="4"/>
  <c r="CP25" i="4"/>
  <c r="CQ25" i="4"/>
  <c r="CW25" i="4"/>
  <c r="CX25" i="4"/>
  <c r="CY25" i="4"/>
  <c r="AC26" i="4"/>
  <c r="AD26" i="4"/>
  <c r="AE26" i="4"/>
  <c r="AK26" i="4"/>
  <c r="AL26" i="4"/>
  <c r="AM26" i="4"/>
  <c r="AT26" i="4"/>
  <c r="AU26" i="4"/>
  <c r="BA26" i="4"/>
  <c r="BB26" i="4"/>
  <c r="BC26" i="4"/>
  <c r="BI26" i="4"/>
  <c r="BJ26" i="4"/>
  <c r="BK26" i="4"/>
  <c r="BQ26" i="4"/>
  <c r="BR26" i="4"/>
  <c r="BS26" i="4"/>
  <c r="BY26" i="4"/>
  <c r="BZ26" i="4"/>
  <c r="CA26" i="4"/>
  <c r="CG26" i="4"/>
  <c r="CH26" i="4"/>
  <c r="CI26" i="4"/>
  <c r="CO26" i="4"/>
  <c r="CP26" i="4"/>
  <c r="CQ26" i="4"/>
  <c r="CW26" i="4"/>
  <c r="CX26" i="4"/>
  <c r="CY26" i="4"/>
  <c r="AC27" i="4"/>
  <c r="AD27" i="4"/>
  <c r="AE27" i="4"/>
  <c r="AK27" i="4"/>
  <c r="AL27" i="4"/>
  <c r="AM27" i="4"/>
  <c r="AT27" i="4"/>
  <c r="AU27" i="4"/>
  <c r="BA27" i="4"/>
  <c r="BB27" i="4"/>
  <c r="BC27" i="4"/>
  <c r="BI27" i="4"/>
  <c r="BJ27" i="4"/>
  <c r="BK27" i="4"/>
  <c r="BQ27" i="4"/>
  <c r="BR27" i="4"/>
  <c r="BS27" i="4"/>
  <c r="BY27" i="4"/>
  <c r="BZ27" i="4"/>
  <c r="CA27" i="4"/>
  <c r="CG27" i="4"/>
  <c r="CH27" i="4"/>
  <c r="CI27" i="4"/>
  <c r="CO27" i="4"/>
  <c r="CP27" i="4"/>
  <c r="CQ27" i="4"/>
  <c r="CW27" i="4"/>
  <c r="CX27" i="4"/>
  <c r="CY27" i="4"/>
  <c r="AC28" i="4"/>
  <c r="AD28" i="4"/>
  <c r="AE28" i="4"/>
  <c r="AK28" i="4"/>
  <c r="AL28" i="4"/>
  <c r="AM28" i="4"/>
  <c r="AT28" i="4"/>
  <c r="AU28" i="4"/>
  <c r="BA28" i="4"/>
  <c r="BB28" i="4"/>
  <c r="BC28" i="4"/>
  <c r="BI28" i="4"/>
  <c r="BJ28" i="4"/>
  <c r="BK28" i="4"/>
  <c r="BQ28" i="4"/>
  <c r="BR28" i="4"/>
  <c r="BS28" i="4"/>
  <c r="BY28" i="4"/>
  <c r="BZ28" i="4"/>
  <c r="CA28" i="4"/>
  <c r="CG28" i="4"/>
  <c r="CH28" i="4"/>
  <c r="CI28" i="4"/>
  <c r="CO28" i="4"/>
  <c r="CP28" i="4"/>
  <c r="CQ28" i="4"/>
  <c r="CW28" i="4"/>
  <c r="CX28" i="4"/>
  <c r="CY28" i="4"/>
  <c r="AC31" i="4"/>
  <c r="AD31" i="4"/>
  <c r="AE31" i="4"/>
  <c r="AK31" i="4"/>
  <c r="AL31" i="4"/>
  <c r="AM31" i="4"/>
  <c r="AS31" i="4"/>
  <c r="AT31" i="4"/>
  <c r="AU31" i="4"/>
  <c r="BA31" i="4"/>
  <c r="BB31" i="4"/>
  <c r="BC31" i="4"/>
  <c r="BI31" i="4"/>
  <c r="BJ31" i="4"/>
  <c r="BK31" i="4"/>
  <c r="BQ31" i="4"/>
  <c r="BR31" i="4"/>
  <c r="BS31" i="4"/>
  <c r="BY31" i="4"/>
  <c r="BZ31" i="4"/>
  <c r="CA31" i="4"/>
  <c r="CG31" i="4"/>
  <c r="CH31" i="4"/>
  <c r="CI31" i="4"/>
  <c r="CO31" i="4"/>
  <c r="CP31" i="4"/>
  <c r="CQ31" i="4"/>
  <c r="CW31" i="4"/>
  <c r="CX31" i="4"/>
  <c r="CY31" i="4"/>
  <c r="AC32" i="4"/>
  <c r="AD32" i="4"/>
  <c r="AE32" i="4"/>
  <c r="AK32" i="4"/>
  <c r="AL32" i="4"/>
  <c r="AM32" i="4"/>
  <c r="AS32" i="4"/>
  <c r="AT32" i="4"/>
  <c r="AU32" i="4"/>
  <c r="BA32" i="4"/>
  <c r="BB32" i="4"/>
  <c r="BC32" i="4"/>
  <c r="BI32" i="4"/>
  <c r="BJ32" i="4"/>
  <c r="BK32" i="4"/>
  <c r="BQ32" i="4"/>
  <c r="BR32" i="4"/>
  <c r="BS32" i="4"/>
  <c r="BY32" i="4"/>
  <c r="BZ32" i="4"/>
  <c r="CA32" i="4"/>
  <c r="CG32" i="4"/>
  <c r="CH32" i="4"/>
  <c r="CI32" i="4"/>
  <c r="CO32" i="4"/>
  <c r="CP32" i="4"/>
  <c r="CQ32" i="4"/>
  <c r="CW32" i="4"/>
  <c r="CX32" i="4"/>
  <c r="CY32" i="4"/>
  <c r="AC33" i="4"/>
  <c r="AD33" i="4"/>
  <c r="AE33" i="4"/>
  <c r="AK33" i="4"/>
  <c r="AL33" i="4"/>
  <c r="AM33" i="4"/>
  <c r="AS33" i="4"/>
  <c r="AT33" i="4"/>
  <c r="AU33" i="4"/>
  <c r="BA33" i="4"/>
  <c r="BB33" i="4"/>
  <c r="BC33" i="4"/>
  <c r="BI33" i="4"/>
  <c r="BJ33" i="4"/>
  <c r="BK33" i="4"/>
  <c r="BQ33" i="4"/>
  <c r="BR33" i="4"/>
  <c r="BS33" i="4"/>
  <c r="BY33" i="4"/>
  <c r="BZ33" i="4"/>
  <c r="CA33" i="4"/>
  <c r="CG33" i="4"/>
  <c r="CH33" i="4"/>
  <c r="CI33" i="4"/>
  <c r="CO33" i="4"/>
  <c r="CP33" i="4"/>
  <c r="CQ33" i="4"/>
  <c r="CW33" i="4"/>
  <c r="CX33" i="4"/>
  <c r="CY33" i="4"/>
  <c r="AC34" i="4"/>
  <c r="AD34" i="4"/>
  <c r="AE34" i="4"/>
  <c r="AK34" i="4"/>
  <c r="AL34" i="4"/>
  <c r="AM34" i="4"/>
  <c r="AS34" i="4"/>
  <c r="AT34" i="4"/>
  <c r="AU34" i="4"/>
  <c r="BA34" i="4"/>
  <c r="BB34" i="4"/>
  <c r="BC34" i="4"/>
  <c r="BI34" i="4"/>
  <c r="BJ34" i="4"/>
  <c r="BK34" i="4"/>
  <c r="BQ34" i="4"/>
  <c r="BR34" i="4"/>
  <c r="BS34" i="4"/>
  <c r="BY34" i="4"/>
  <c r="BZ34" i="4"/>
  <c r="CA34" i="4"/>
  <c r="CG34" i="4"/>
  <c r="CH34" i="4"/>
  <c r="CI34" i="4"/>
  <c r="CO34" i="4"/>
  <c r="CP34" i="4"/>
  <c r="CQ34" i="4"/>
  <c r="CW34" i="4"/>
  <c r="CX34" i="4"/>
  <c r="CY34" i="4"/>
  <c r="AC35" i="4"/>
  <c r="AD35" i="4"/>
  <c r="AE35" i="4"/>
  <c r="AK35" i="4"/>
  <c r="AL35" i="4"/>
  <c r="AM35" i="4"/>
  <c r="AS35" i="4"/>
  <c r="AT35" i="4"/>
  <c r="AU35" i="4"/>
  <c r="BA35" i="4"/>
  <c r="BB35" i="4"/>
  <c r="BC35" i="4"/>
  <c r="BI35" i="4"/>
  <c r="BJ35" i="4"/>
  <c r="BK35" i="4"/>
  <c r="BQ35" i="4"/>
  <c r="BR35" i="4"/>
  <c r="BS35" i="4"/>
  <c r="BY35" i="4"/>
  <c r="BZ35" i="4"/>
  <c r="CA35" i="4"/>
  <c r="CG35" i="4"/>
  <c r="CH35" i="4"/>
  <c r="CI35" i="4"/>
  <c r="CO35" i="4"/>
  <c r="CP35" i="4"/>
  <c r="CQ35" i="4"/>
  <c r="CW35" i="4"/>
  <c r="CX35" i="4"/>
  <c r="CY35" i="4"/>
  <c r="AC36" i="4"/>
  <c r="AD36" i="4"/>
  <c r="AE36" i="4"/>
  <c r="AK36" i="4"/>
  <c r="AL36" i="4"/>
  <c r="AM36" i="4"/>
  <c r="AS36" i="4"/>
  <c r="AT36" i="4"/>
  <c r="AU36" i="4"/>
  <c r="BA36" i="4"/>
  <c r="BB36" i="4"/>
  <c r="BC36" i="4"/>
  <c r="BI36" i="4"/>
  <c r="BJ36" i="4"/>
  <c r="BK36" i="4"/>
  <c r="BQ36" i="4"/>
  <c r="BR36" i="4"/>
  <c r="BS36" i="4"/>
  <c r="BY36" i="4"/>
  <c r="BZ36" i="4"/>
  <c r="CA36" i="4"/>
  <c r="CG36" i="4"/>
  <c r="CH36" i="4"/>
  <c r="CI36" i="4"/>
  <c r="CO36" i="4"/>
  <c r="CP36" i="4"/>
  <c r="CQ36" i="4"/>
  <c r="CW36" i="4"/>
  <c r="CX36" i="4"/>
  <c r="CY36" i="4"/>
  <c r="AC37" i="4"/>
  <c r="AD37" i="4"/>
  <c r="AE37" i="4"/>
  <c r="AK37" i="4"/>
  <c r="AL37" i="4"/>
  <c r="AM37" i="4"/>
  <c r="AS37" i="4"/>
  <c r="AT37" i="4"/>
  <c r="AU37" i="4"/>
  <c r="BA37" i="4"/>
  <c r="BB37" i="4"/>
  <c r="BC37" i="4"/>
  <c r="BI37" i="4"/>
  <c r="BJ37" i="4"/>
  <c r="BK37" i="4"/>
  <c r="BQ37" i="4"/>
  <c r="BR37" i="4"/>
  <c r="BS37" i="4"/>
  <c r="BY37" i="4"/>
  <c r="BZ37" i="4"/>
  <c r="CA37" i="4"/>
  <c r="CG37" i="4"/>
  <c r="CH37" i="4"/>
  <c r="CI37" i="4"/>
  <c r="CO37" i="4"/>
  <c r="CP37" i="4"/>
  <c r="CQ37" i="4"/>
  <c r="CW37" i="4"/>
  <c r="CX37" i="4"/>
  <c r="CY37" i="4"/>
  <c r="AC38" i="4"/>
  <c r="AD38" i="4"/>
  <c r="AE38" i="4"/>
  <c r="AK38" i="4"/>
  <c r="AL38" i="4"/>
  <c r="AM38" i="4"/>
  <c r="AS38" i="4"/>
  <c r="AT38" i="4"/>
  <c r="AU38" i="4"/>
  <c r="BA38" i="4"/>
  <c r="BB38" i="4"/>
  <c r="BC38" i="4"/>
  <c r="BI38" i="4"/>
  <c r="BJ38" i="4"/>
  <c r="BK38" i="4"/>
  <c r="BQ38" i="4"/>
  <c r="BR38" i="4"/>
  <c r="BS38" i="4"/>
  <c r="BY38" i="4"/>
  <c r="BZ38" i="4"/>
  <c r="CA38" i="4"/>
  <c r="CG38" i="4"/>
  <c r="CH38" i="4"/>
  <c r="CI38" i="4"/>
  <c r="CO38" i="4"/>
  <c r="CP38" i="4"/>
  <c r="CQ38" i="4"/>
  <c r="CW38" i="4"/>
  <c r="CX38" i="4"/>
  <c r="CY38" i="4"/>
  <c r="AC39" i="4"/>
  <c r="AD39" i="4"/>
  <c r="AE39" i="4"/>
  <c r="AK39" i="4"/>
  <c r="AL39" i="4"/>
  <c r="AM39" i="4"/>
  <c r="AS39" i="4"/>
  <c r="AT39" i="4"/>
  <c r="AU39" i="4"/>
  <c r="BA39" i="4"/>
  <c r="BB39" i="4"/>
  <c r="BC39" i="4"/>
  <c r="BI39" i="4"/>
  <c r="BJ39" i="4"/>
  <c r="BK39" i="4"/>
  <c r="BQ39" i="4"/>
  <c r="BR39" i="4"/>
  <c r="BS39" i="4"/>
  <c r="BY39" i="4"/>
  <c r="BZ39" i="4"/>
  <c r="CA39" i="4"/>
  <c r="CG39" i="4"/>
  <c r="CH39" i="4"/>
  <c r="CI39" i="4"/>
  <c r="CO39" i="4"/>
  <c r="CP39" i="4"/>
  <c r="CQ39" i="4"/>
  <c r="CW39" i="4"/>
  <c r="CX39" i="4"/>
  <c r="CY39" i="4"/>
  <c r="AC40" i="4"/>
  <c r="AD40" i="4"/>
  <c r="AE40" i="4"/>
  <c r="AK40" i="4"/>
  <c r="AL40" i="4"/>
  <c r="AM40" i="4"/>
  <c r="AS40" i="4"/>
  <c r="AT40" i="4"/>
  <c r="AU40" i="4"/>
  <c r="BA40" i="4"/>
  <c r="BB40" i="4"/>
  <c r="BC40" i="4"/>
  <c r="BI40" i="4"/>
  <c r="BJ40" i="4"/>
  <c r="BK40" i="4"/>
  <c r="BQ40" i="4"/>
  <c r="BR40" i="4"/>
  <c r="BS40" i="4"/>
  <c r="BY40" i="4"/>
  <c r="BZ40" i="4"/>
  <c r="CA40" i="4"/>
  <c r="CG40" i="4"/>
  <c r="CH40" i="4"/>
  <c r="CI40" i="4"/>
  <c r="CO40" i="4"/>
  <c r="CP40" i="4"/>
  <c r="CQ40" i="4"/>
  <c r="CW40" i="4"/>
  <c r="CX40" i="4"/>
  <c r="CY40" i="4"/>
  <c r="AC43" i="4"/>
  <c r="AD43" i="4"/>
  <c r="AE43" i="4"/>
  <c r="AK43" i="4"/>
  <c r="AL43" i="4"/>
  <c r="AM43" i="4"/>
  <c r="AS43" i="4"/>
  <c r="AT43" i="4"/>
  <c r="AU43" i="4"/>
  <c r="BA43" i="4"/>
  <c r="BB43" i="4"/>
  <c r="BC43" i="4"/>
  <c r="BI43" i="4"/>
  <c r="BJ43" i="4"/>
  <c r="BK43" i="4"/>
  <c r="BQ43" i="4"/>
  <c r="BR43" i="4"/>
  <c r="BS43" i="4"/>
  <c r="BY43" i="4"/>
  <c r="BZ43" i="4"/>
  <c r="CA43" i="4"/>
  <c r="CG43" i="4"/>
  <c r="CH43" i="4"/>
  <c r="CI43" i="4"/>
  <c r="CO43" i="4"/>
  <c r="CP43" i="4"/>
  <c r="CQ43" i="4"/>
  <c r="CW43" i="4"/>
  <c r="CX43" i="4"/>
  <c r="CY43" i="4"/>
  <c r="AC44" i="4"/>
  <c r="AD44" i="4"/>
  <c r="AE44" i="4"/>
  <c r="AK44" i="4"/>
  <c r="AL44" i="4"/>
  <c r="AM44" i="4"/>
  <c r="AS44" i="4"/>
  <c r="AT44" i="4"/>
  <c r="AU44" i="4"/>
  <c r="BA44" i="4"/>
  <c r="BB44" i="4"/>
  <c r="BC44" i="4"/>
  <c r="BI44" i="4"/>
  <c r="BJ44" i="4"/>
  <c r="BK44" i="4"/>
  <c r="BQ44" i="4"/>
  <c r="BR44" i="4"/>
  <c r="BS44" i="4"/>
  <c r="BY44" i="4"/>
  <c r="BZ44" i="4"/>
  <c r="CA44" i="4"/>
  <c r="CG44" i="4"/>
  <c r="CH44" i="4"/>
  <c r="CI44" i="4"/>
  <c r="CO44" i="4"/>
  <c r="CP44" i="4"/>
  <c r="CQ44" i="4"/>
  <c r="CW44" i="4"/>
  <c r="CX44" i="4"/>
  <c r="CY44" i="4"/>
  <c r="AC45" i="4"/>
  <c r="AD45" i="4"/>
  <c r="AE45" i="4"/>
  <c r="AK45" i="4"/>
  <c r="AL45" i="4"/>
  <c r="AM45" i="4"/>
  <c r="AS45" i="4"/>
  <c r="AT45" i="4"/>
  <c r="AU45" i="4"/>
  <c r="BA45" i="4"/>
  <c r="BB45" i="4"/>
  <c r="BC45" i="4"/>
  <c r="BI45" i="4"/>
  <c r="BJ45" i="4"/>
  <c r="BK45" i="4"/>
  <c r="BQ45" i="4"/>
  <c r="BR45" i="4"/>
  <c r="BS45" i="4"/>
  <c r="BY45" i="4"/>
  <c r="BZ45" i="4"/>
  <c r="CA45" i="4"/>
  <c r="CG45" i="4"/>
  <c r="CH45" i="4"/>
  <c r="CI45" i="4"/>
  <c r="CO45" i="4"/>
  <c r="CP45" i="4"/>
  <c r="CQ45" i="4"/>
  <c r="CW45" i="4"/>
  <c r="CX45" i="4"/>
  <c r="CY45" i="4"/>
  <c r="AC46" i="4"/>
  <c r="AD46" i="4"/>
  <c r="AE46" i="4"/>
  <c r="AK46" i="4"/>
  <c r="AL46" i="4"/>
  <c r="AM46" i="4"/>
  <c r="AS46" i="4"/>
  <c r="AT46" i="4"/>
  <c r="AU46" i="4"/>
  <c r="BA46" i="4"/>
  <c r="BB46" i="4"/>
  <c r="BC46" i="4"/>
  <c r="BI46" i="4"/>
  <c r="BJ46" i="4"/>
  <c r="BK46" i="4"/>
  <c r="BQ46" i="4"/>
  <c r="BR46" i="4"/>
  <c r="BS46" i="4"/>
  <c r="BY46" i="4"/>
  <c r="BZ46" i="4"/>
  <c r="CA46" i="4"/>
  <c r="CG46" i="4"/>
  <c r="CH46" i="4"/>
  <c r="CI46" i="4"/>
  <c r="CO46" i="4"/>
  <c r="CP46" i="4"/>
  <c r="CQ46" i="4"/>
  <c r="CW46" i="4"/>
  <c r="CX46" i="4"/>
  <c r="CY46" i="4"/>
  <c r="AC47" i="4"/>
  <c r="AD47" i="4"/>
  <c r="AE47" i="4"/>
  <c r="AK47" i="4"/>
  <c r="AL47" i="4"/>
  <c r="AM47" i="4"/>
  <c r="AS47" i="4"/>
  <c r="AT47" i="4"/>
  <c r="AU47" i="4"/>
  <c r="BA47" i="4"/>
  <c r="BB47" i="4"/>
  <c r="BC47" i="4"/>
  <c r="BI47" i="4"/>
  <c r="BJ47" i="4"/>
  <c r="BK47" i="4"/>
  <c r="BQ47" i="4"/>
  <c r="BR47" i="4"/>
  <c r="BS47" i="4"/>
  <c r="BY47" i="4"/>
  <c r="BZ47" i="4"/>
  <c r="CA47" i="4"/>
  <c r="CG47" i="4"/>
  <c r="CH47" i="4"/>
  <c r="CI47" i="4"/>
  <c r="CO47" i="4"/>
  <c r="CP47" i="4"/>
  <c r="CQ47" i="4"/>
  <c r="CW47" i="4"/>
  <c r="CX47" i="4"/>
  <c r="CY47" i="4"/>
  <c r="AC48" i="4"/>
  <c r="AD48" i="4"/>
  <c r="AE48" i="4"/>
  <c r="AK48" i="4"/>
  <c r="AL48" i="4"/>
  <c r="AM48" i="4"/>
  <c r="AS48" i="4"/>
  <c r="AT48" i="4"/>
  <c r="AU48" i="4"/>
  <c r="BA48" i="4"/>
  <c r="BB48" i="4"/>
  <c r="BC48" i="4"/>
  <c r="BI48" i="4"/>
  <c r="BJ48" i="4"/>
  <c r="BK48" i="4"/>
  <c r="BQ48" i="4"/>
  <c r="BR48" i="4"/>
  <c r="BS48" i="4"/>
  <c r="BY48" i="4"/>
  <c r="BZ48" i="4"/>
  <c r="CA48" i="4"/>
  <c r="CG48" i="4"/>
  <c r="CH48" i="4"/>
  <c r="CI48" i="4"/>
  <c r="CO48" i="4"/>
  <c r="CP48" i="4"/>
  <c r="CQ48" i="4"/>
  <c r="CW48" i="4"/>
  <c r="CX48" i="4"/>
  <c r="CY48" i="4"/>
  <c r="AC49" i="4"/>
  <c r="AD49" i="4"/>
  <c r="AE49" i="4"/>
  <c r="AK49" i="4"/>
  <c r="AL49" i="4"/>
  <c r="AM49" i="4"/>
  <c r="AS49" i="4"/>
  <c r="AT49" i="4"/>
  <c r="AU49" i="4"/>
  <c r="BA49" i="4"/>
  <c r="BB49" i="4"/>
  <c r="BC49" i="4"/>
  <c r="BI49" i="4"/>
  <c r="BJ49" i="4"/>
  <c r="BK49" i="4"/>
  <c r="BQ49" i="4"/>
  <c r="BR49" i="4"/>
  <c r="BS49" i="4"/>
  <c r="BY49" i="4"/>
  <c r="BZ49" i="4"/>
  <c r="CA49" i="4"/>
  <c r="CG49" i="4"/>
  <c r="CH49" i="4"/>
  <c r="CI49" i="4"/>
  <c r="CO49" i="4"/>
  <c r="CP49" i="4"/>
  <c r="CQ49" i="4"/>
  <c r="CW49" i="4"/>
  <c r="CX49" i="4"/>
  <c r="CY49" i="4"/>
  <c r="AC50" i="4"/>
  <c r="AD50" i="4"/>
  <c r="AE50" i="4"/>
  <c r="AK50" i="4"/>
  <c r="AL50" i="4"/>
  <c r="AM50" i="4"/>
  <c r="AS50" i="4"/>
  <c r="AT50" i="4"/>
  <c r="AU50" i="4"/>
  <c r="BA50" i="4"/>
  <c r="BB50" i="4"/>
  <c r="BC50" i="4"/>
  <c r="BI50" i="4"/>
  <c r="BJ50" i="4"/>
  <c r="BK50" i="4"/>
  <c r="BQ50" i="4"/>
  <c r="BR50" i="4"/>
  <c r="BS50" i="4"/>
  <c r="BY50" i="4"/>
  <c r="BZ50" i="4"/>
  <c r="CA50" i="4"/>
  <c r="CG50" i="4"/>
  <c r="CH50" i="4"/>
  <c r="CI50" i="4"/>
  <c r="CO50" i="4"/>
  <c r="CP50" i="4"/>
  <c r="CQ50" i="4"/>
  <c r="CW50" i="4"/>
  <c r="CX50" i="4"/>
  <c r="CY50" i="4"/>
  <c r="AC51" i="4"/>
  <c r="AD51" i="4"/>
  <c r="AE51" i="4"/>
  <c r="AK51" i="4"/>
  <c r="AL51" i="4"/>
  <c r="AM51" i="4"/>
  <c r="AS51" i="4"/>
  <c r="AT51" i="4"/>
  <c r="AU51" i="4"/>
  <c r="BA51" i="4"/>
  <c r="BB51" i="4"/>
  <c r="BC51" i="4"/>
  <c r="BI51" i="4"/>
  <c r="BJ51" i="4"/>
  <c r="BK51" i="4"/>
  <c r="BQ51" i="4"/>
  <c r="BR51" i="4"/>
  <c r="BS51" i="4"/>
  <c r="BY51" i="4"/>
  <c r="BZ51" i="4"/>
  <c r="CA51" i="4"/>
  <c r="CG51" i="4"/>
  <c r="CH51" i="4"/>
  <c r="CI51" i="4"/>
  <c r="CO51" i="4"/>
  <c r="CP51" i="4"/>
  <c r="CQ51" i="4"/>
  <c r="CW51" i="4"/>
  <c r="CX51" i="4"/>
  <c r="CY51" i="4"/>
  <c r="AC52" i="4"/>
  <c r="AD52" i="4"/>
  <c r="AE52" i="4"/>
  <c r="AK52" i="4"/>
  <c r="AL52" i="4"/>
  <c r="AM52" i="4"/>
  <c r="AS52" i="4"/>
  <c r="AT52" i="4"/>
  <c r="AU52" i="4"/>
  <c r="BA52" i="4"/>
  <c r="BB52" i="4"/>
  <c r="BC52" i="4"/>
  <c r="BI52" i="4"/>
  <c r="BJ52" i="4"/>
  <c r="BK52" i="4"/>
  <c r="BQ52" i="4"/>
  <c r="BR52" i="4"/>
  <c r="BS52" i="4"/>
  <c r="BY52" i="4"/>
  <c r="BZ52" i="4"/>
  <c r="CA52" i="4"/>
  <c r="CG52" i="4"/>
  <c r="CH52" i="4"/>
  <c r="CI52" i="4"/>
  <c r="CO52" i="4"/>
  <c r="CP52" i="4"/>
  <c r="CQ52" i="4"/>
  <c r="CW52" i="4"/>
  <c r="CX52" i="4"/>
  <c r="CY52" i="4"/>
  <c r="AC55" i="4"/>
  <c r="AD55" i="4"/>
  <c r="AE55" i="4"/>
  <c r="AK55" i="4"/>
  <c r="AL55" i="4"/>
  <c r="AM55" i="4"/>
  <c r="AS55" i="4"/>
  <c r="AT55" i="4"/>
  <c r="AU55" i="4"/>
  <c r="BA55" i="4"/>
  <c r="BB55" i="4"/>
  <c r="BC55" i="4"/>
  <c r="BI55" i="4"/>
  <c r="BJ55" i="4"/>
  <c r="BK55" i="4"/>
  <c r="BQ55" i="4"/>
  <c r="BR55" i="4"/>
  <c r="BS55" i="4"/>
  <c r="BY55" i="4"/>
  <c r="BZ55" i="4"/>
  <c r="CA55" i="4"/>
  <c r="CG55" i="4"/>
  <c r="CH55" i="4"/>
  <c r="CI55" i="4"/>
  <c r="CO55" i="4"/>
  <c r="CP55" i="4"/>
  <c r="CQ55" i="4"/>
  <c r="CW55" i="4"/>
  <c r="CX55" i="4"/>
  <c r="CY55" i="4"/>
  <c r="AC56" i="4"/>
  <c r="AD56" i="4"/>
  <c r="AE56" i="4"/>
  <c r="AK56" i="4"/>
  <c r="AL56" i="4"/>
  <c r="AM56" i="4"/>
  <c r="AS56" i="4"/>
  <c r="AT56" i="4"/>
  <c r="AU56" i="4"/>
  <c r="BA56" i="4"/>
  <c r="BB56" i="4"/>
  <c r="BC56" i="4"/>
  <c r="BI56" i="4"/>
  <c r="BJ56" i="4"/>
  <c r="BK56" i="4"/>
  <c r="BQ56" i="4"/>
  <c r="BR56" i="4"/>
  <c r="BS56" i="4"/>
  <c r="BY56" i="4"/>
  <c r="BZ56" i="4"/>
  <c r="CA56" i="4"/>
  <c r="CG56" i="4"/>
  <c r="CH56" i="4"/>
  <c r="CI56" i="4"/>
  <c r="CO56" i="4"/>
  <c r="CP56" i="4"/>
  <c r="CQ56" i="4"/>
  <c r="CW56" i="4"/>
  <c r="CX56" i="4"/>
  <c r="CY56" i="4"/>
  <c r="AC57" i="4"/>
  <c r="AD57" i="4"/>
  <c r="AE57" i="4"/>
  <c r="AK57" i="4"/>
  <c r="AL57" i="4"/>
  <c r="AM57" i="4"/>
  <c r="AS57" i="4"/>
  <c r="AT57" i="4"/>
  <c r="AU57" i="4"/>
  <c r="BA57" i="4"/>
  <c r="BB57" i="4"/>
  <c r="BC57" i="4"/>
  <c r="BI57" i="4"/>
  <c r="BJ57" i="4"/>
  <c r="BK57" i="4"/>
  <c r="BQ57" i="4"/>
  <c r="BR57" i="4"/>
  <c r="BS57" i="4"/>
  <c r="BY57" i="4"/>
  <c r="BZ57" i="4"/>
  <c r="CA57" i="4"/>
  <c r="CG57" i="4"/>
  <c r="CH57" i="4"/>
  <c r="CI57" i="4"/>
  <c r="CO57" i="4"/>
  <c r="CP57" i="4"/>
  <c r="CQ57" i="4"/>
  <c r="CW57" i="4"/>
  <c r="CX57" i="4"/>
  <c r="CY57" i="4"/>
  <c r="AC58" i="4"/>
  <c r="AD58" i="4"/>
  <c r="AE58" i="4"/>
  <c r="AK58" i="4"/>
  <c r="AL58" i="4"/>
  <c r="AM58" i="4"/>
  <c r="AS58" i="4"/>
  <c r="AT58" i="4"/>
  <c r="AU58" i="4"/>
  <c r="BA58" i="4"/>
  <c r="BB58" i="4"/>
  <c r="BC58" i="4"/>
  <c r="BI58" i="4"/>
  <c r="BJ58" i="4"/>
  <c r="BK58" i="4"/>
  <c r="BQ58" i="4"/>
  <c r="BR58" i="4"/>
  <c r="BS58" i="4"/>
  <c r="BY58" i="4"/>
  <c r="BZ58" i="4"/>
  <c r="CA58" i="4"/>
  <c r="CG58" i="4"/>
  <c r="CH58" i="4"/>
  <c r="CI58" i="4"/>
  <c r="CO58" i="4"/>
  <c r="CP58" i="4"/>
  <c r="CQ58" i="4"/>
  <c r="CW58" i="4"/>
  <c r="CX58" i="4"/>
  <c r="CY58" i="4"/>
  <c r="AC59" i="4"/>
  <c r="AD59" i="4"/>
  <c r="AE59" i="4"/>
  <c r="AK59" i="4"/>
  <c r="AL59" i="4"/>
  <c r="AM59" i="4"/>
  <c r="AS59" i="4"/>
  <c r="AT59" i="4"/>
  <c r="AU59" i="4"/>
  <c r="BA59" i="4"/>
  <c r="BB59" i="4"/>
  <c r="BC59" i="4"/>
  <c r="BI59" i="4"/>
  <c r="BJ59" i="4"/>
  <c r="BK59" i="4"/>
  <c r="BQ59" i="4"/>
  <c r="BR59" i="4"/>
  <c r="BS59" i="4"/>
  <c r="BY59" i="4"/>
  <c r="BZ59" i="4"/>
  <c r="CA59" i="4"/>
  <c r="CG59" i="4"/>
  <c r="CH59" i="4"/>
  <c r="CI59" i="4"/>
  <c r="CO59" i="4"/>
  <c r="CP59" i="4"/>
  <c r="CQ59" i="4"/>
  <c r="CW59" i="4"/>
  <c r="CX59" i="4"/>
  <c r="CY59" i="4"/>
  <c r="AC60" i="4"/>
  <c r="AD60" i="4"/>
  <c r="AE60" i="4"/>
  <c r="AK60" i="4"/>
  <c r="AL60" i="4"/>
  <c r="AM60" i="4"/>
  <c r="AS60" i="4"/>
  <c r="AT60" i="4"/>
  <c r="AU60" i="4"/>
  <c r="BA60" i="4"/>
  <c r="BB60" i="4"/>
  <c r="BC60" i="4"/>
  <c r="BI60" i="4"/>
  <c r="BJ60" i="4"/>
  <c r="BK60" i="4"/>
  <c r="BQ60" i="4"/>
  <c r="BR60" i="4"/>
  <c r="BS60" i="4"/>
  <c r="BY60" i="4"/>
  <c r="BZ60" i="4"/>
  <c r="CA60" i="4"/>
  <c r="CG60" i="4"/>
  <c r="CH60" i="4"/>
  <c r="CI60" i="4"/>
  <c r="CO60" i="4"/>
  <c r="CP60" i="4"/>
  <c r="CQ60" i="4"/>
  <c r="CW60" i="4"/>
  <c r="CX60" i="4"/>
  <c r="CY60" i="4"/>
  <c r="AC61" i="4"/>
  <c r="AD61" i="4"/>
  <c r="AE61" i="4"/>
  <c r="AK61" i="4"/>
  <c r="AL61" i="4"/>
  <c r="AM61" i="4"/>
  <c r="AS61" i="4"/>
  <c r="AT61" i="4"/>
  <c r="AU61" i="4"/>
  <c r="BA61" i="4"/>
  <c r="BB61" i="4"/>
  <c r="BC61" i="4"/>
  <c r="BI61" i="4"/>
  <c r="BJ61" i="4"/>
  <c r="BK61" i="4"/>
  <c r="BQ61" i="4"/>
  <c r="BR61" i="4"/>
  <c r="BS61" i="4"/>
  <c r="BY61" i="4"/>
  <c r="BZ61" i="4"/>
  <c r="CA61" i="4"/>
  <c r="CG61" i="4"/>
  <c r="CH61" i="4"/>
  <c r="CI61" i="4"/>
  <c r="CO61" i="4"/>
  <c r="CP61" i="4"/>
  <c r="CQ61" i="4"/>
  <c r="CW61" i="4"/>
  <c r="CX61" i="4"/>
  <c r="CY61" i="4"/>
  <c r="AC62" i="4"/>
  <c r="AD62" i="4"/>
  <c r="AE62" i="4"/>
  <c r="AK62" i="4"/>
  <c r="AL62" i="4"/>
  <c r="AM62" i="4"/>
  <c r="AS62" i="4"/>
  <c r="AT62" i="4"/>
  <c r="AU62" i="4"/>
  <c r="BA62" i="4"/>
  <c r="BB62" i="4"/>
  <c r="BC62" i="4"/>
  <c r="BI62" i="4"/>
  <c r="BJ62" i="4"/>
  <c r="BK62" i="4"/>
  <c r="BQ62" i="4"/>
  <c r="BR62" i="4"/>
  <c r="BS62" i="4"/>
  <c r="BY62" i="4"/>
  <c r="BZ62" i="4"/>
  <c r="CA62" i="4"/>
  <c r="CG62" i="4"/>
  <c r="CH62" i="4"/>
  <c r="CI62" i="4"/>
  <c r="CO62" i="4"/>
  <c r="CP62" i="4"/>
  <c r="CQ62" i="4"/>
  <c r="CW62" i="4"/>
  <c r="CX62" i="4"/>
  <c r="CY62" i="4"/>
  <c r="AC63" i="4"/>
  <c r="AD63" i="4"/>
  <c r="AE63" i="4"/>
  <c r="AK63" i="4"/>
  <c r="AL63" i="4"/>
  <c r="AM63" i="4"/>
  <c r="AS63" i="4"/>
  <c r="AT63" i="4"/>
  <c r="AU63" i="4"/>
  <c r="BA63" i="4"/>
  <c r="BB63" i="4"/>
  <c r="BC63" i="4"/>
  <c r="BI63" i="4"/>
  <c r="BJ63" i="4"/>
  <c r="BK63" i="4"/>
  <c r="BQ63" i="4"/>
  <c r="BR63" i="4"/>
  <c r="BS63" i="4"/>
  <c r="BY63" i="4"/>
  <c r="BZ63" i="4"/>
  <c r="CA63" i="4"/>
  <c r="CG63" i="4"/>
  <c r="CH63" i="4"/>
  <c r="CI63" i="4"/>
  <c r="CO63" i="4"/>
  <c r="CP63" i="4"/>
  <c r="CQ63" i="4"/>
  <c r="CW63" i="4"/>
  <c r="CX63" i="4"/>
  <c r="CY63" i="4"/>
  <c r="AC64" i="4"/>
  <c r="AD64" i="4"/>
  <c r="AE64" i="4"/>
  <c r="AK64" i="4"/>
  <c r="AL64" i="4"/>
  <c r="AM64" i="4"/>
  <c r="AS64" i="4"/>
  <c r="AT64" i="4"/>
  <c r="AU64" i="4"/>
  <c r="BA64" i="4"/>
  <c r="BB64" i="4"/>
  <c r="BC64" i="4"/>
  <c r="BI64" i="4"/>
  <c r="BJ64" i="4"/>
  <c r="BK64" i="4"/>
  <c r="BQ64" i="4"/>
  <c r="BR64" i="4"/>
  <c r="BS64" i="4"/>
  <c r="BY64" i="4"/>
  <c r="BZ64" i="4"/>
  <c r="CA64" i="4"/>
  <c r="CG64" i="4"/>
  <c r="CH64" i="4"/>
  <c r="CI64" i="4"/>
  <c r="CO64" i="4"/>
  <c r="CP64" i="4"/>
  <c r="CQ64" i="4"/>
  <c r="CW64" i="4"/>
  <c r="CX64" i="4"/>
  <c r="CY64" i="4"/>
  <c r="AC65" i="4"/>
  <c r="AD65" i="4"/>
  <c r="AE65" i="4"/>
  <c r="AK65" i="4"/>
  <c r="AL65" i="4"/>
  <c r="AM65" i="4"/>
  <c r="AS65" i="4"/>
  <c r="AT65" i="4"/>
  <c r="AU65" i="4"/>
  <c r="BA65" i="4"/>
  <c r="BB65" i="4"/>
  <c r="BC65" i="4"/>
  <c r="BI65" i="4"/>
  <c r="BJ65" i="4"/>
  <c r="BK65" i="4"/>
  <c r="BQ65" i="4"/>
  <c r="BR65" i="4"/>
  <c r="BS65" i="4"/>
  <c r="BY65" i="4"/>
  <c r="BZ65" i="4"/>
  <c r="CA65" i="4"/>
  <c r="CG65" i="4"/>
  <c r="CH65" i="4"/>
  <c r="CI65" i="4"/>
  <c r="CO65" i="4"/>
  <c r="CP65" i="4"/>
  <c r="CQ65" i="4"/>
  <c r="CW65" i="4"/>
  <c r="CX65" i="4"/>
  <c r="CY65" i="4"/>
  <c r="CX16" i="4" l="1"/>
  <c r="CY16" i="4"/>
  <c r="CO16" i="4"/>
  <c r="CW16" i="4"/>
</calcChain>
</file>

<file path=xl/sharedStrings.xml><?xml version="1.0" encoding="utf-8"?>
<sst xmlns="http://schemas.openxmlformats.org/spreadsheetml/2006/main" count="910" uniqueCount="48">
  <si>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</si>
  <si>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</si>
  <si>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</si>
  <si>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</si>
  <si>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</si>
  <si>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</si>
  <si>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</si>
  <si>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</si>
  <si>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</si>
  <si>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</si>
  <si>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</si>
  <si>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</si>
  <si>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</si>
  <si>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</si>
  <si>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</si>
  <si>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</si>
  <si>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</si>
  <si>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</si>
  <si>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</si>
  <si>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</si>
  <si>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25Q2W1</t>
    <phoneticPr fontId="2" type="noConversion"/>
  </si>
  <si>
    <t>25Q2W2</t>
    <phoneticPr fontId="2" type="noConversion"/>
  </si>
  <si>
    <t>25Q2W3</t>
  </si>
  <si>
    <t>25Q2W4</t>
  </si>
  <si>
    <t>25Q2W5</t>
  </si>
  <si>
    <t>25Q2W6</t>
  </si>
  <si>
    <t>25Q2W7</t>
  </si>
  <si>
    <t>25Q2W8</t>
  </si>
  <si>
    <t>25Q2W9</t>
  </si>
  <si>
    <t>25Q2W10</t>
  </si>
  <si>
    <t>25Q2W11</t>
  </si>
  <si>
    <t>25Q2W12</t>
  </si>
  <si>
    <t>25Q2W13</t>
  </si>
  <si>
    <t>12/29~01/04</t>
    <phoneticPr fontId="2" type="noConversion"/>
  </si>
  <si>
    <t>01/05~01/11</t>
    <phoneticPr fontId="2" type="noConversion"/>
  </si>
  <si>
    <t>01/12~01/18</t>
    <phoneticPr fontId="2" type="noConversion"/>
  </si>
  <si>
    <t>01/19~01/25</t>
    <phoneticPr fontId="2" type="noConversion"/>
  </si>
  <si>
    <t>01/26~02/01</t>
    <phoneticPr fontId="2" type="noConversion"/>
  </si>
  <si>
    <t>02/02~02/08</t>
    <phoneticPr fontId="2" type="noConversion"/>
  </si>
  <si>
    <t>02/09~02/15</t>
    <phoneticPr fontId="2" type="noConversion"/>
  </si>
  <si>
    <t>02/23~03/01</t>
    <phoneticPr fontId="2" type="noConversion"/>
  </si>
  <si>
    <t>03/02~03/08</t>
    <phoneticPr fontId="2" type="noConversion"/>
  </si>
  <si>
    <t>03/09~03/15</t>
    <phoneticPr fontId="2" type="noConversion"/>
  </si>
  <si>
    <t>03/16~03/22</t>
    <phoneticPr fontId="2" type="noConversion"/>
  </si>
  <si>
    <t>03/23~03/29</t>
    <phoneticPr fontId="2" type="noConversion"/>
  </si>
  <si>
    <t>Traffic</t>
    <phoneticPr fontId="2" type="noConversion"/>
  </si>
  <si>
    <t>Trade in</t>
    <phoneticPr fontId="2" type="noConversion"/>
  </si>
  <si>
    <t>02/16~02/22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</si>
</sst>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月&quot;d&quot;日&quot;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2"/>
      <color theme="1"/>
      <name val="Microsoft JhengHei"/>
      <family val="2"/>
    </font>
    <font>
      <b/>
      <sz val="12"/>
      <color rgb="FF000000"/>
      <name val="Arial"/>
      <family val="2"/>
    </font>
    <font>
      <b/>
      <sz val="12"/>
      <color theme="1"/>
      <name val="Arial Italic"/>
    </font>
    <font>
      <b/>
      <sz val="14"/>
      <color theme="1"/>
      <name val="Arial Italic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177" fontId="12" fillId="0" borderId="0" xfId="0" applyNumberFormat="1" applyFont="1">
      <alignment vertical="center"/>
    </xf>
    <xf numFmtId="0" fontId="9" fillId="0" borderId="0" xfId="2" applyFont="1" applyAlignment="1">
      <alignment vertical="center"/>
    </xf>
    <xf numFmtId="9" fontId="6" fillId="0" borderId="0" xfId="1" applyFont="1" applyFill="1" applyAlignment="1">
      <alignment vertical="center"/>
    </xf>
    <xf numFmtId="176" fontId="0" fillId="0" borderId="0" xfId="0" applyNumberFormat="1">
      <alignment vertical="center"/>
    </xf>
    <xf numFmtId="9" fontId="3" fillId="0" borderId="0" xfId="1" applyFont="1" applyFill="1" applyAlignment="1">
      <alignment vertical="center"/>
    </xf>
    <xf numFmtId="0" fontId="16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0" fontId="4" fillId="7" borderId="0" xfId="2" applyFill="1" applyAlignment="1">
      <alignment vertical="center"/>
    </xf>
    <xf numFmtId="49" fontId="12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  <xf numFmtId="176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2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9D9D9"/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4355-6941-2845-BCEC-077BE07F4927}">
  <dimension ref="A1:CY84"/>
  <sheetViews>
    <sheetView tabSelected="1" topLeftCell="AL25" zoomScale="81" workbookViewId="0">
      <selection activeCell="BB3" sqref="BB3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57" max="57" width="13.1640625" bestFit="1" customWidth="1"/>
    <col min="58" max="58" width="11.83203125" bestFit="1" customWidth="1"/>
    <col min="59" max="59" width="15.5" bestFit="1" customWidth="1"/>
    <col min="60" max="60" width="18.6640625" style="36" bestFit="1" customWidth="1"/>
    <col min="61" max="62" width="10" style="36" customWidth="1"/>
    <col min="63" max="63" width="8.83203125" style="36" bestFit="1" customWidth="1"/>
    <col min="64" max="64" width="5" style="36" customWidth="1"/>
    <col min="65" max="65" width="13.1640625" bestFit="1" customWidth="1"/>
    <col min="67" max="67" width="11" bestFit="1" customWidth="1"/>
    <col min="68" max="68" width="11.6640625" bestFit="1" customWidth="1"/>
    <col min="69" max="71" width="11" bestFit="1" customWidth="1"/>
    <col min="72" max="72" width="6.1640625" customWidth="1"/>
    <col min="76" max="76" width="13" bestFit="1" customWidth="1"/>
    <col min="78" max="78" width="12.33203125" bestFit="1" customWidth="1"/>
    <col min="80" max="80" width="6.1640625" customWidth="1"/>
    <col min="84" max="84" width="13" bestFit="1" customWidth="1"/>
    <col min="86" max="86" width="12" customWidth="1"/>
    <col min="88" max="88" width="6.1640625" customWidth="1"/>
    <col min="92" max="92" width="14.1640625" bestFit="1" customWidth="1"/>
    <col min="94" max="94" width="14.1640625" bestFit="1" customWidth="1"/>
    <col min="96" max="96" width="6.1640625" customWidth="1"/>
    <col min="100" max="100" width="14.1640625" bestFit="1" customWidth="1"/>
    <col min="102" max="102" width="14.1640625" bestFit="1" customWidth="1"/>
  </cols>
  <sheetData>
    <row r="1" spans="1:103" s="26" customFormat="1" ht="28" customHeight="1">
      <c r="A1" s="28" t="s">
        <v>20</v>
      </c>
      <c r="B1" s="28"/>
      <c r="D1" s="27"/>
      <c r="I1" s="28" t="s">
        <v>21</v>
      </c>
      <c r="J1" s="28"/>
      <c r="L1" s="27"/>
      <c r="Q1" s="28" t="s">
        <v>22</v>
      </c>
      <c r="R1" s="28"/>
      <c r="T1" s="27"/>
      <c r="Y1" s="28" t="s">
        <v>23</v>
      </c>
      <c r="Z1" s="28"/>
      <c r="AB1" s="27"/>
      <c r="AG1" s="28" t="s">
        <v>24</v>
      </c>
      <c r="AH1" s="28"/>
      <c r="AJ1" s="27"/>
      <c r="AO1" s="28" t="s">
        <v>25</v>
      </c>
      <c r="AP1" s="28"/>
      <c r="AR1" s="27"/>
      <c r="AW1" s="28" t="s">
        <v>26</v>
      </c>
      <c r="AX1" s="28"/>
      <c r="AZ1" s="27"/>
      <c r="BE1" s="28" t="s">
        <v>27</v>
      </c>
      <c r="BF1" s="28"/>
      <c r="BH1" s="27"/>
      <c r="BM1" s="28" t="s">
        <v>28</v>
      </c>
      <c r="BN1" s="28"/>
      <c r="BP1" s="27"/>
      <c r="BU1" s="28" t="s">
        <v>29</v>
      </c>
      <c r="BV1" s="28"/>
      <c r="BX1" s="27"/>
      <c r="CC1" s="28" t="s">
        <v>30</v>
      </c>
      <c r="CD1" s="28"/>
      <c r="CF1" s="27"/>
      <c r="CK1" s="28" t="s">
        <v>31</v>
      </c>
      <c r="CL1" s="28"/>
      <c r="CN1" s="27"/>
      <c r="CS1" s="28" t="s">
        <v>32</v>
      </c>
      <c r="CT1" s="28"/>
      <c r="CV1" s="27"/>
    </row>
    <row r="2" spans="1:103" s="22" customFormat="1" ht="28" customHeight="1">
      <c r="A2" s="43" t="s">
        <v>33</v>
      </c>
      <c r="B2" s="24"/>
      <c r="D2" s="23"/>
      <c r="I2" s="22" t="s">
        <v>34</v>
      </c>
      <c r="J2" s="23"/>
      <c r="O2" s="33"/>
      <c r="Q2" s="43" t="s">
        <v>35</v>
      </c>
      <c r="R2" s="24"/>
      <c r="T2" s="23"/>
      <c r="Y2" s="22" t="s">
        <v>36</v>
      </c>
      <c r="Z2" s="23"/>
      <c r="AE2" s="33"/>
      <c r="AG2" s="43" t="s">
        <v>37</v>
      </c>
      <c r="AH2" s="24"/>
      <c r="AJ2" s="23"/>
      <c r="AO2" s="22" t="s">
        <v>38</v>
      </c>
      <c r="AP2" s="23"/>
      <c r="AU2" s="33"/>
      <c r="AW2" s="43" t="s">
        <v>39</v>
      </c>
      <c r="AX2" s="24"/>
      <c r="AZ2" s="23"/>
      <c r="BE2" s="22" t="s">
        <v>47</v>
      </c>
      <c r="BF2" s="23"/>
      <c r="BK2" s="33"/>
      <c r="BM2" s="43" t="s">
        <v>40</v>
      </c>
      <c r="BN2" s="24"/>
      <c r="BP2" s="23"/>
      <c r="BU2" s="22" t="s">
        <v>41</v>
      </c>
      <c r="BV2" s="23"/>
      <c r="CA2" s="33"/>
      <c r="CC2" s="43" t="s">
        <v>42</v>
      </c>
      <c r="CD2" s="24"/>
      <c r="CF2" s="23"/>
      <c r="CK2" s="22" t="s">
        <v>43</v>
      </c>
      <c r="CL2" s="23"/>
      <c r="CQ2" s="33"/>
      <c r="CS2" s="43" t="s">
        <v>44</v>
      </c>
      <c r="CT2" s="24"/>
      <c r="CV2" s="23"/>
    </row>
    <row r="3" spans="1:103" s="22" customFormat="1" ht="18">
      <c r="A3" s="25"/>
      <c r="B3" s="24"/>
      <c r="D3" s="23"/>
      <c r="I3" s="33"/>
      <c r="K3" s="25"/>
      <c r="M3" s="25"/>
      <c r="O3" s="25"/>
      <c r="Q3" s="24"/>
      <c r="S3" s="25"/>
      <c r="U3" s="25"/>
      <c r="W3" s="25"/>
      <c r="Z3" s="24"/>
      <c r="AB3" s="23"/>
      <c r="AK3" s="24"/>
      <c r="AL3" s="24"/>
      <c r="AN3" s="23"/>
      <c r="AQ3" s="24"/>
      <c r="AR3" s="24"/>
      <c r="AT3" s="23"/>
      <c r="AW3" s="24"/>
      <c r="AX3" s="24"/>
      <c r="AZ3" s="23"/>
      <c r="BF3" s="23"/>
      <c r="BH3" s="23"/>
      <c r="BI3" s="23"/>
      <c r="BJ3" s="23"/>
      <c r="BK3" s="23"/>
      <c r="BL3" s="23"/>
      <c r="BN3" s="24"/>
      <c r="BP3" s="23"/>
      <c r="BU3" s="24"/>
      <c r="BV3" s="24"/>
      <c r="BX3" s="23"/>
      <c r="CC3" s="24"/>
      <c r="CD3" s="24"/>
      <c r="CF3" s="23"/>
      <c r="CK3" s="24"/>
      <c r="CL3" s="24"/>
      <c r="CN3" s="23"/>
      <c r="CS3" s="24"/>
      <c r="CT3" s="24"/>
      <c r="CV3" s="23"/>
    </row>
    <row r="4" spans="1:103" s="17" customFormat="1" ht="22" customHeight="1">
      <c r="A4" s="21" t="s">
        <v>18</v>
      </c>
      <c r="B4" s="21" t="s">
        <v>17</v>
      </c>
      <c r="C4" s="20" t="s">
        <v>16</v>
      </c>
      <c r="D4" s="19" t="s">
        <v>15</v>
      </c>
      <c r="E4" s="18" t="s">
        <v>14</v>
      </c>
      <c r="F4" s="18" t="s">
        <v>14</v>
      </c>
      <c r="G4" s="18" t="s">
        <v>14</v>
      </c>
      <c r="I4" s="21" t="s">
        <v>18</v>
      </c>
      <c r="J4" s="21" t="s">
        <v>17</v>
      </c>
      <c r="K4" s="20" t="s">
        <v>16</v>
      </c>
      <c r="L4" s="19" t="s">
        <v>15</v>
      </c>
      <c r="M4" s="18" t="s">
        <v>14</v>
      </c>
      <c r="N4" s="18" t="s">
        <v>14</v>
      </c>
      <c r="O4" s="18" t="s">
        <v>14</v>
      </c>
      <c r="Q4" s="21" t="s">
        <v>18</v>
      </c>
      <c r="R4" s="21" t="s">
        <v>17</v>
      </c>
      <c r="S4" s="20" t="s">
        <v>16</v>
      </c>
      <c r="T4" s="19" t="s">
        <v>15</v>
      </c>
      <c r="U4" s="18" t="s">
        <v>14</v>
      </c>
      <c r="V4" s="18" t="s">
        <v>14</v>
      </c>
      <c r="W4" s="18" t="s">
        <v>14</v>
      </c>
      <c r="Y4" s="21" t="s">
        <v>18</v>
      </c>
      <c r="Z4" s="21" t="s">
        <v>17</v>
      </c>
      <c r="AA4" s="20" t="s">
        <v>16</v>
      </c>
      <c r="AB4" s="19" t="s">
        <v>15</v>
      </c>
      <c r="AC4" s="18" t="s">
        <v>14</v>
      </c>
      <c r="AD4" s="18" t="s">
        <v>14</v>
      </c>
      <c r="AE4" s="18" t="s">
        <v>14</v>
      </c>
      <c r="AG4" s="21" t="s">
        <v>18</v>
      </c>
      <c r="AH4" s="21" t="s">
        <v>17</v>
      </c>
      <c r="AI4" s="20" t="s">
        <v>16</v>
      </c>
      <c r="AJ4" s="19" t="s">
        <v>15</v>
      </c>
      <c r="AK4" s="18" t="s">
        <v>14</v>
      </c>
      <c r="AL4" s="18" t="s">
        <v>14</v>
      </c>
      <c r="AM4" s="18" t="s">
        <v>14</v>
      </c>
      <c r="AO4" s="21" t="s">
        <v>18</v>
      </c>
      <c r="AP4" s="21" t="s">
        <v>17</v>
      </c>
      <c r="AQ4" s="20" t="s">
        <v>16</v>
      </c>
      <c r="AR4" s="19" t="s">
        <v>15</v>
      </c>
      <c r="AS4" s="18" t="s">
        <v>14</v>
      </c>
      <c r="AT4" s="18" t="s">
        <v>14</v>
      </c>
      <c r="AU4" s="18" t="s">
        <v>14</v>
      </c>
      <c r="AW4" s="21" t="s">
        <v>18</v>
      </c>
      <c r="AX4" s="21" t="s">
        <v>17</v>
      </c>
      <c r="AY4" s="20" t="s">
        <v>16</v>
      </c>
      <c r="AZ4" s="19" t="s">
        <v>15</v>
      </c>
      <c r="BA4" s="18" t="s">
        <v>14</v>
      </c>
      <c r="BB4" s="18" t="s">
        <v>14</v>
      </c>
      <c r="BC4" s="18" t="s">
        <v>14</v>
      </c>
      <c r="BE4" s="21" t="s">
        <v>18</v>
      </c>
      <c r="BF4" s="21" t="s">
        <v>17</v>
      </c>
      <c r="BG4" s="20" t="s">
        <v>16</v>
      </c>
      <c r="BH4" s="19" t="s">
        <v>15</v>
      </c>
      <c r="BI4" s="18" t="s">
        <v>14</v>
      </c>
      <c r="BJ4" s="18" t="s">
        <v>14</v>
      </c>
      <c r="BK4" s="18" t="s">
        <v>14</v>
      </c>
      <c r="BM4" s="21" t="s">
        <v>18</v>
      </c>
      <c r="BN4" s="21" t="s">
        <v>17</v>
      </c>
      <c r="BO4" s="20" t="s">
        <v>16</v>
      </c>
      <c r="BP4" s="19" t="s">
        <v>15</v>
      </c>
      <c r="BQ4" s="18" t="s">
        <v>14</v>
      </c>
      <c r="BR4" s="18" t="s">
        <v>14</v>
      </c>
      <c r="BS4" s="18" t="s">
        <v>14</v>
      </c>
      <c r="BU4" s="21" t="s">
        <v>18</v>
      </c>
      <c r="BV4" s="21" t="s">
        <v>17</v>
      </c>
      <c r="BW4" s="20" t="s">
        <v>16</v>
      </c>
      <c r="BX4" s="19" t="s">
        <v>15</v>
      </c>
      <c r="BY4" s="18" t="s">
        <v>14</v>
      </c>
      <c r="BZ4" s="18" t="s">
        <v>14</v>
      </c>
      <c r="CA4" s="18" t="s">
        <v>14</v>
      </c>
      <c r="CC4" s="21" t="s">
        <v>18</v>
      </c>
      <c r="CD4" s="21" t="s">
        <v>17</v>
      </c>
      <c r="CE4" s="20" t="s">
        <v>16</v>
      </c>
      <c r="CF4" s="19" t="s">
        <v>15</v>
      </c>
      <c r="CG4" s="18" t="s">
        <v>14</v>
      </c>
      <c r="CH4" s="18" t="s">
        <v>14</v>
      </c>
      <c r="CI4" s="18" t="s">
        <v>14</v>
      </c>
      <c r="CK4" s="21" t="s">
        <v>18</v>
      </c>
      <c r="CL4" s="21" t="s">
        <v>17</v>
      </c>
      <c r="CM4" s="20" t="s">
        <v>16</v>
      </c>
      <c r="CN4" s="19" t="s">
        <v>15</v>
      </c>
      <c r="CO4" s="18" t="s">
        <v>14</v>
      </c>
      <c r="CP4" s="18" t="s">
        <v>14</v>
      </c>
      <c r="CQ4" s="18" t="s">
        <v>14</v>
      </c>
      <c r="CS4" s="21" t="s">
        <v>18</v>
      </c>
      <c r="CT4" s="21" t="s">
        <v>17</v>
      </c>
      <c r="CU4" s="20" t="s">
        <v>16</v>
      </c>
      <c r="CV4" s="19" t="s">
        <v>15</v>
      </c>
      <c r="CW4" s="18" t="s">
        <v>14</v>
      </c>
      <c r="CX4" s="18" t="s">
        <v>14</v>
      </c>
      <c r="CY4" s="18" t="s">
        <v>14</v>
      </c>
    </row>
    <row r="5" spans="1:103" s="50" customFormat="1" ht="22" customHeight="1">
      <c r="A5" s="16">
        <v>75</v>
      </c>
      <c r="B5" s="34" t="s">
        <v>45</v>
      </c>
      <c r="C5" s="47">
        <v>8236</v>
      </c>
      <c r="D5" s="1"/>
      <c r="E5" s="48"/>
      <c r="F5" s="48"/>
      <c r="G5" s="48"/>
      <c r="H5" s="1"/>
      <c r="I5" s="16">
        <v>75</v>
      </c>
      <c r="J5" s="34" t="s">
        <v>45</v>
      </c>
      <c r="K5" s="47">
        <v>7191</v>
      </c>
      <c r="L5" s="1"/>
      <c r="M5" s="12"/>
      <c r="N5" s="14"/>
      <c r="O5" s="13"/>
      <c r="P5" s="1"/>
      <c r="Q5" s="16">
        <v>75</v>
      </c>
      <c r="R5" s="34" t="s">
        <v>45</v>
      </c>
      <c r="S5" s="47">
        <v>7169</v>
      </c>
      <c r="T5" s="1"/>
      <c r="U5" s="12"/>
      <c r="V5" s="14"/>
      <c r="W5" s="13"/>
      <c r="X5" s="1"/>
      <c r="Y5" s="16">
        <v>75</v>
      </c>
      <c r="Z5" s="34" t="s">
        <v>45</v>
      </c>
      <c r="AA5" s="47">
        <v>9064</v>
      </c>
      <c r="AB5" s="1"/>
      <c r="AC5" s="12"/>
      <c r="AD5" s="14"/>
      <c r="AE5" s="13"/>
      <c r="AF5" s="1"/>
      <c r="AG5" s="16">
        <v>75</v>
      </c>
      <c r="AH5" s="34" t="s">
        <v>45</v>
      </c>
      <c r="AI5" s="47">
        <v>14041</v>
      </c>
      <c r="AJ5" s="1"/>
      <c r="AK5" s="12"/>
      <c r="AL5" s="14"/>
      <c r="AM5" s="13"/>
      <c r="AN5" s="1"/>
      <c r="AO5" s="16">
        <v>75</v>
      </c>
      <c r="AP5" s="34" t="s">
        <v>45</v>
      </c>
      <c r="AQ5" s="47">
        <v>7909</v>
      </c>
      <c r="AR5" s="1"/>
      <c r="AS5" s="12"/>
      <c r="AT5" s="14"/>
      <c r="AU5" s="13"/>
      <c r="AV5" s="1"/>
      <c r="AW5" s="16">
        <v>75</v>
      </c>
      <c r="AX5" s="34" t="s">
        <v>45</v>
      </c>
      <c r="AY5" s="47">
        <v>3853</v>
      </c>
      <c r="AZ5" s="1"/>
      <c r="BA5" s="12">
        <f t="shared" ref="BA5:BB6" si="0">AY5-AQ5</f>
        <v>-4056</v>
      </c>
      <c r="BB5" s="14">
        <f t="shared" si="0"/>
        <v>0</v>
      </c>
      <c r="BC5" s="13" t="e">
        <f t="shared" ref="BC5:BC6" si="1">(AZ5-AR5)/AR5</f>
        <v>#DIV/0!</v>
      </c>
      <c r="BD5" s="49"/>
      <c r="BE5" s="16">
        <v>75</v>
      </c>
      <c r="BF5" s="34" t="s">
        <v>45</v>
      </c>
      <c r="BG5" s="17">
        <v>0</v>
      </c>
      <c r="BH5" s="39"/>
      <c r="BI5" s="12">
        <f t="shared" ref="BI5:BJ6" si="2">BG5-AY5</f>
        <v>-3853</v>
      </c>
      <c r="BJ5" s="14">
        <f t="shared" si="2"/>
        <v>0</v>
      </c>
      <c r="BK5" s="13" t="e">
        <f t="shared" ref="BK5:BK6" si="3">(BH5-AZ5)/AZ5</f>
        <v>#DIV/0!</v>
      </c>
      <c r="BL5" s="49"/>
      <c r="BM5" s="16">
        <v>75</v>
      </c>
      <c r="BN5" s="34" t="s">
        <v>45</v>
      </c>
      <c r="BO5" s="17">
        <v>0</v>
      </c>
      <c r="BP5" s="39"/>
      <c r="BQ5" s="12">
        <f t="shared" ref="BQ5:BR6" si="4">BO5-BG5</f>
        <v>0</v>
      </c>
      <c r="BR5" s="14">
        <f t="shared" si="4"/>
        <v>0</v>
      </c>
      <c r="BS5" s="13" t="e">
        <f t="shared" ref="BS5:BS6" si="5">(BP5-BH5)/BH5</f>
        <v>#DIV/0!</v>
      </c>
      <c r="BU5" s="16">
        <v>75</v>
      </c>
      <c r="BV5" s="34" t="s">
        <v>45</v>
      </c>
      <c r="CC5" s="16">
        <v>75</v>
      </c>
      <c r="CD5" s="34" t="s">
        <v>45</v>
      </c>
      <c r="CK5" s="16">
        <v>75</v>
      </c>
      <c r="CL5" s="34" t="s">
        <v>45</v>
      </c>
      <c r="CS5" s="16">
        <v>75</v>
      </c>
      <c r="CT5" s="34" t="s">
        <v>45</v>
      </c>
    </row>
    <row r="6" spans="1:103" s="17" customFormat="1" ht="22" customHeight="1">
      <c r="A6" s="16"/>
      <c r="B6" s="34" t="s">
        <v>46</v>
      </c>
      <c r="C6" s="17">
        <v>17</v>
      </c>
      <c r="D6" s="39"/>
      <c r="E6" s="40"/>
      <c r="F6" s="40"/>
      <c r="G6" s="40"/>
      <c r="I6" s="16"/>
      <c r="J6" s="34" t="s">
        <v>46</v>
      </c>
      <c r="K6" s="17">
        <v>18</v>
      </c>
      <c r="L6" s="39"/>
      <c r="M6" s="12">
        <f t="shared" ref="M6:N6" si="6">K6-C6</f>
        <v>1</v>
      </c>
      <c r="N6" s="14">
        <f t="shared" si="6"/>
        <v>0</v>
      </c>
      <c r="O6" s="13" t="e">
        <f t="shared" ref="O6" si="7">(L6-D6)/D6</f>
        <v>#DIV/0!</v>
      </c>
      <c r="Q6" s="16"/>
      <c r="R6" s="34" t="s">
        <v>46</v>
      </c>
      <c r="S6" s="17">
        <v>12</v>
      </c>
      <c r="T6" s="39"/>
      <c r="U6" s="12">
        <f t="shared" ref="U6:V6" si="8">S6-K6</f>
        <v>-6</v>
      </c>
      <c r="V6" s="14">
        <f t="shared" si="8"/>
        <v>0</v>
      </c>
      <c r="W6" s="13" t="e">
        <f t="shared" ref="W6" si="9">(T6-L6)/L6</f>
        <v>#DIV/0!</v>
      </c>
      <c r="Y6" s="16"/>
      <c r="Z6" s="34" t="s">
        <v>46</v>
      </c>
      <c r="AA6" s="17">
        <v>21</v>
      </c>
      <c r="AB6" s="39"/>
      <c r="AC6" s="12">
        <f t="shared" ref="AC6:AD6" si="10">AA6-S6</f>
        <v>9</v>
      </c>
      <c r="AD6" s="14">
        <f t="shared" si="10"/>
        <v>0</v>
      </c>
      <c r="AE6" s="13" t="e">
        <f t="shared" ref="AE6" si="11">(AB6-T6)/T6</f>
        <v>#DIV/0!</v>
      </c>
      <c r="AG6" s="16"/>
      <c r="AH6" s="34" t="s">
        <v>46</v>
      </c>
      <c r="AI6" s="17">
        <v>24</v>
      </c>
      <c r="AJ6" s="39"/>
      <c r="AK6" s="12">
        <f t="shared" ref="AK6:AL6" si="12">AI6-AA6</f>
        <v>3</v>
      </c>
      <c r="AL6" s="14">
        <f t="shared" si="12"/>
        <v>0</v>
      </c>
      <c r="AM6" s="13" t="e">
        <f t="shared" ref="AM6" si="13">(AJ6-AB6)/AB6</f>
        <v>#DIV/0!</v>
      </c>
      <c r="AO6" s="16"/>
      <c r="AP6" s="34" t="s">
        <v>46</v>
      </c>
      <c r="AQ6" s="17">
        <v>18</v>
      </c>
      <c r="AR6" s="39"/>
      <c r="AS6" s="12">
        <f t="shared" ref="AS6:AT6" si="14">AQ6-AI6</f>
        <v>-6</v>
      </c>
      <c r="AT6" s="14">
        <f t="shared" si="14"/>
        <v>0</v>
      </c>
      <c r="AU6" s="13" t="e">
        <f t="shared" ref="AU6" si="15">(AR6-AJ6)/AJ6</f>
        <v>#DIV/0!</v>
      </c>
      <c r="AW6" s="16"/>
      <c r="AX6" s="34" t="s">
        <v>46</v>
      </c>
      <c r="AY6" s="17">
        <v>4</v>
      </c>
      <c r="AZ6" s="39"/>
      <c r="BA6" s="12">
        <f t="shared" si="0"/>
        <v>-14</v>
      </c>
      <c r="BB6" s="14">
        <f t="shared" si="0"/>
        <v>0</v>
      </c>
      <c r="BC6" s="13" t="e">
        <f t="shared" si="1"/>
        <v>#DIV/0!</v>
      </c>
      <c r="BE6" s="16"/>
      <c r="BF6" s="34" t="s">
        <v>46</v>
      </c>
      <c r="BG6" s="17">
        <v>0</v>
      </c>
      <c r="BH6" s="39"/>
      <c r="BI6" s="12">
        <f t="shared" si="2"/>
        <v>-4</v>
      </c>
      <c r="BJ6" s="14">
        <f t="shared" si="2"/>
        <v>0</v>
      </c>
      <c r="BK6" s="13" t="e">
        <f t="shared" si="3"/>
        <v>#DIV/0!</v>
      </c>
      <c r="BM6" s="16"/>
      <c r="BN6" s="34" t="s">
        <v>46</v>
      </c>
      <c r="BO6" s="17">
        <v>0</v>
      </c>
      <c r="BP6" s="39"/>
      <c r="BQ6" s="12">
        <f t="shared" si="4"/>
        <v>0</v>
      </c>
      <c r="BR6" s="14">
        <f t="shared" si="4"/>
        <v>0</v>
      </c>
      <c r="BS6" s="13" t="e">
        <f t="shared" si="5"/>
        <v>#DIV/0!</v>
      </c>
      <c r="BU6" s="16"/>
      <c r="BV6" s="34" t="s">
        <v>46</v>
      </c>
      <c r="CC6" s="16"/>
      <c r="CD6" s="34" t="s">
        <v>46</v>
      </c>
      <c r="CK6" s="16"/>
      <c r="CL6" s="34" t="s">
        <v>46</v>
      </c>
      <c r="CS6" s="16"/>
      <c r="CT6" s="34" t="s">
        <v>46</v>
      </c>
    </row>
    <row r="7" spans="1:103" s="12" customFormat="1" ht="20" customHeight="1">
      <c r="A7" s="16"/>
      <c r="B7" s="15" t="s">
        <v>10</v>
      </c>
      <c r="C7" s="12">
        <v>203</v>
      </c>
      <c r="D7" s="14">
        <v>263930.47618980973</v>
      </c>
      <c r="F7" s="14"/>
      <c r="G7" s="13"/>
      <c r="I7" s="16"/>
      <c r="J7" s="15" t="s">
        <v>10</v>
      </c>
      <c r="K7" s="12">
        <v>222</v>
      </c>
      <c r="L7" s="14">
        <v>313080.95238017989</v>
      </c>
      <c r="M7" s="12">
        <f t="shared" ref="M7:M16" si="16">K7-C7</f>
        <v>19</v>
      </c>
      <c r="N7" s="14">
        <f t="shared" ref="N7:N16" si="17">L7-D7</f>
        <v>49150.476190370158</v>
      </c>
      <c r="O7" s="13">
        <f t="shared" ref="O7:O16" si="18">(L7-D7)/D7</f>
        <v>0.18622508813655467</v>
      </c>
      <c r="Q7" s="16"/>
      <c r="R7" s="15" t="s">
        <v>10</v>
      </c>
      <c r="S7" s="12">
        <v>240</v>
      </c>
      <c r="T7" s="14">
        <v>273490.47618964995</v>
      </c>
      <c r="U7" s="12">
        <f t="shared" ref="U7:U16" si="19">S7-K7</f>
        <v>18</v>
      </c>
      <c r="V7" s="14">
        <f t="shared" ref="V7:V16" si="20">T7-L7</f>
        <v>-39590.476190529938</v>
      </c>
      <c r="W7" s="13">
        <f t="shared" ref="W7:W16" si="21">(T7-L7)/L7</f>
        <v>-0.12645443898629291</v>
      </c>
      <c r="Y7" s="16"/>
      <c r="Z7" s="15" t="s">
        <v>10</v>
      </c>
      <c r="AA7" s="12">
        <v>300</v>
      </c>
      <c r="AB7" s="14">
        <v>346565.71428471</v>
      </c>
      <c r="AC7" s="14">
        <f t="shared" ref="AC7:AC16" si="22">AA7-S7</f>
        <v>60</v>
      </c>
      <c r="AD7" s="14">
        <f t="shared" ref="AD7:AD16" si="23">AB7-T7</f>
        <v>73075.238095060049</v>
      </c>
      <c r="AE7" s="13">
        <f t="shared" ref="AE7:AE16" si="24">(AB7-T7)/T7</f>
        <v>0.26719481831018704</v>
      </c>
      <c r="AG7" s="16"/>
      <c r="AH7" s="15" t="s">
        <v>10</v>
      </c>
      <c r="AI7" s="12">
        <v>332</v>
      </c>
      <c r="AJ7" s="14">
        <v>412742.85714189959</v>
      </c>
      <c r="AK7" s="12">
        <f t="shared" ref="AK7:AK16" si="25">AI7-AA7</f>
        <v>32</v>
      </c>
      <c r="AL7" s="14">
        <f t="shared" ref="AL7:AL16" si="26">AJ7-AB7</f>
        <v>66177.142857189581</v>
      </c>
      <c r="AM7" s="13">
        <f t="shared" ref="AM7:AM16" si="27">(AJ7-AB7)/AB7</f>
        <v>0.19095121106764723</v>
      </c>
      <c r="AO7" s="16"/>
      <c r="AP7" s="15" t="s">
        <v>10</v>
      </c>
      <c r="AQ7" s="12">
        <v>198</v>
      </c>
      <c r="AR7" s="14">
        <v>273739.04761837015</v>
      </c>
      <c r="AS7" s="12">
        <f t="shared" ref="AS7:AS16" si="28">AQ7-AI7</f>
        <v>-134</v>
      </c>
      <c r="AT7" s="14">
        <f t="shared" ref="AT7:AT16" si="29">AR7-AJ7</f>
        <v>-139003.80952352943</v>
      </c>
      <c r="AU7" s="13">
        <f t="shared" ref="AU7:AU16" si="30">(AR7-AJ7)/AJ7</f>
        <v>-0.33678065439116828</v>
      </c>
      <c r="AW7" s="16"/>
      <c r="AX7" s="15" t="s">
        <v>10</v>
      </c>
      <c r="AY7" s="44">
        <v>115</v>
      </c>
      <c r="AZ7" s="44">
        <v>146213.33333290007</v>
      </c>
      <c r="BA7" s="12">
        <f t="shared" ref="BA7:BA18" si="31">AY7-AQ7</f>
        <v>-83</v>
      </c>
      <c r="BB7" s="14">
        <f t="shared" ref="BB7:BB18" si="32">AZ7-AR7</f>
        <v>-127525.71428547008</v>
      </c>
      <c r="BC7" s="13">
        <f t="shared" ref="BC7:BC18" si="33">(AZ7-AR7)/AR7</f>
        <v>-0.46586599681335361</v>
      </c>
      <c r="BE7" s="16"/>
      <c r="BF7" s="15" t="s">
        <v>10</v>
      </c>
      <c r="BG7" s="12">
        <v>0</v>
      </c>
      <c r="BH7" s="14">
        <v>0</v>
      </c>
      <c r="BI7" s="12">
        <f t="shared" ref="BI7:BI18" si="34">BG7-AY7</f>
        <v>-115</v>
      </c>
      <c r="BJ7" s="14">
        <f t="shared" ref="BJ7:BJ18" si="35">BH7-AZ7</f>
        <v>-146213.33333290007</v>
      </c>
      <c r="BK7" s="13">
        <f t="shared" ref="BK7:BK18" si="36">(BH7-AZ7)/AZ7</f>
        <v>-1</v>
      </c>
      <c r="BL7" s="35"/>
      <c r="BM7" s="16"/>
      <c r="BN7" s="15" t="s">
        <v>10</v>
      </c>
      <c r="BO7" s="12">
        <v>0</v>
      </c>
      <c r="BP7" s="14">
        <v>0</v>
      </c>
      <c r="BQ7" s="12">
        <f t="shared" ref="BQ7:BQ18" si="37">BO7-BG7</f>
        <v>0</v>
      </c>
      <c r="BR7" s="14">
        <f t="shared" ref="BR7:BR18" si="38">BP7-BH7</f>
        <v>0</v>
      </c>
      <c r="BS7" s="13" t="e">
        <f t="shared" ref="BS7:BS18" si="39">(BP7-BH7)/BH7</f>
        <v>#DIV/0!</v>
      </c>
      <c r="BU7" s="16"/>
      <c r="BV7" s="15" t="s">
        <v>10</v>
      </c>
      <c r="BW7" s="12">
        <v>0</v>
      </c>
      <c r="BX7" s="14">
        <v>0</v>
      </c>
      <c r="BY7" s="12">
        <f t="shared" ref="BY7:BY16" si="40">BW7-BO7</f>
        <v>0</v>
      </c>
      <c r="BZ7" s="14">
        <f t="shared" ref="BZ7:BZ16" si="41">BX7-BP7</f>
        <v>0</v>
      </c>
      <c r="CA7" s="13" t="e">
        <f t="shared" ref="CA7:CA16" si="42">(BX7-BP7)/BP7</f>
        <v>#DIV/0!</v>
      </c>
      <c r="CC7" s="16"/>
      <c r="CD7" s="15" t="s">
        <v>10</v>
      </c>
      <c r="CE7" s="12">
        <v>0</v>
      </c>
      <c r="CF7" s="14">
        <v>0</v>
      </c>
      <c r="CG7" s="12">
        <f t="shared" ref="CG7:CG16" si="43">CE7-BW7</f>
        <v>0</v>
      </c>
      <c r="CH7" s="14">
        <f t="shared" ref="CH7:CH16" si="44">CF7-BX7</f>
        <v>0</v>
      </c>
      <c r="CI7" s="13" t="e">
        <f t="shared" ref="CI7:CI16" si="45">(CF7-BX7)/BX7</f>
        <v>#DIV/0!</v>
      </c>
      <c r="CK7" s="16"/>
      <c r="CL7" s="15" t="s">
        <v>10</v>
      </c>
      <c r="CM7" s="12">
        <v>1</v>
      </c>
      <c r="CN7" s="14">
        <v>952</v>
      </c>
      <c r="CO7" s="12">
        <f t="shared" ref="CO7:CO16" si="46">CM7-CE7</f>
        <v>1</v>
      </c>
      <c r="CP7" s="14">
        <f t="shared" ref="CP7:CP16" si="47">CN7-CF7</f>
        <v>952</v>
      </c>
      <c r="CQ7" s="13" t="e">
        <f t="shared" ref="CQ7:CQ16" si="48">(CN7-CF7)/CF7</f>
        <v>#DIV/0!</v>
      </c>
      <c r="CS7" s="16"/>
      <c r="CT7" s="15" t="s">
        <v>10</v>
      </c>
      <c r="CU7" s="12">
        <v>1</v>
      </c>
      <c r="CV7" s="14">
        <v>1478</v>
      </c>
      <c r="CW7" s="12">
        <f t="shared" ref="CW7:CW16" si="49">CU7-CM7</f>
        <v>0</v>
      </c>
      <c r="CX7" s="14">
        <f t="shared" ref="CX7:CX16" si="50">CV7-CN7</f>
        <v>526</v>
      </c>
      <c r="CY7" s="13">
        <f t="shared" ref="CY7:CY16" si="51">(CV7-CN7)/CN7</f>
        <v>0.55252100840336138</v>
      </c>
    </row>
    <row r="8" spans="1:103" s="12" customFormat="1" ht="20" customHeight="1">
      <c r="A8" s="16"/>
      <c r="B8" s="15" t="s">
        <v>9</v>
      </c>
      <c r="C8" s="12">
        <v>337</v>
      </c>
      <c r="D8" s="14">
        <v>481367.61904734001</v>
      </c>
      <c r="F8" s="14"/>
      <c r="G8" s="13"/>
      <c r="I8" s="16"/>
      <c r="J8" s="15" t="s">
        <v>9</v>
      </c>
      <c r="K8" s="12">
        <v>375</v>
      </c>
      <c r="L8" s="14">
        <v>598659.99999975006</v>
      </c>
      <c r="M8" s="12">
        <f t="shared" si="16"/>
        <v>38</v>
      </c>
      <c r="N8" s="14">
        <f t="shared" si="17"/>
        <v>117292.38095241005</v>
      </c>
      <c r="O8" s="13">
        <f t="shared" si="18"/>
        <v>0.24366487547405002</v>
      </c>
      <c r="Q8" s="16"/>
      <c r="R8" s="15" t="s">
        <v>9</v>
      </c>
      <c r="S8" s="12">
        <v>420</v>
      </c>
      <c r="T8" s="14">
        <v>584822.85714265995</v>
      </c>
      <c r="U8" s="12">
        <f t="shared" si="19"/>
        <v>45</v>
      </c>
      <c r="V8" s="14">
        <f t="shared" si="20"/>
        <v>-13837.142857090104</v>
      </c>
      <c r="W8" s="13">
        <f t="shared" si="21"/>
        <v>-2.3113524967587413E-2</v>
      </c>
      <c r="Y8" s="16"/>
      <c r="Z8" s="15" t="s">
        <v>9</v>
      </c>
      <c r="AA8" s="12">
        <v>466</v>
      </c>
      <c r="AB8" s="14">
        <v>760739.04761873989</v>
      </c>
      <c r="AC8" s="14">
        <f t="shared" si="22"/>
        <v>46</v>
      </c>
      <c r="AD8" s="14">
        <f t="shared" si="23"/>
        <v>175916.19047607994</v>
      </c>
      <c r="AE8" s="13">
        <f t="shared" si="24"/>
        <v>0.3008025222125808</v>
      </c>
      <c r="AG8" s="16"/>
      <c r="AH8" s="15" t="s">
        <v>9</v>
      </c>
      <c r="AI8" s="12">
        <v>568</v>
      </c>
      <c r="AJ8" s="14">
        <v>768856.19047592022</v>
      </c>
      <c r="AK8" s="12">
        <f t="shared" si="25"/>
        <v>102</v>
      </c>
      <c r="AL8" s="14">
        <f t="shared" si="26"/>
        <v>8117.1428571803262</v>
      </c>
      <c r="AM8" s="13">
        <f t="shared" si="27"/>
        <v>1.067007521513264E-2</v>
      </c>
      <c r="AO8" s="16"/>
      <c r="AP8" s="15" t="s">
        <v>9</v>
      </c>
      <c r="AQ8" s="12">
        <v>380</v>
      </c>
      <c r="AR8" s="14">
        <v>492680.95238076989</v>
      </c>
      <c r="AS8" s="12">
        <f t="shared" si="28"/>
        <v>-188</v>
      </c>
      <c r="AT8" s="14">
        <f t="shared" si="29"/>
        <v>-276175.23809515033</v>
      </c>
      <c r="AU8" s="13">
        <f t="shared" si="30"/>
        <v>-0.3592027241455889</v>
      </c>
      <c r="AW8" s="16"/>
      <c r="AX8" s="15" t="s">
        <v>9</v>
      </c>
      <c r="AY8" s="44">
        <v>184</v>
      </c>
      <c r="AZ8" s="44">
        <v>268305.71428550006</v>
      </c>
      <c r="BA8" s="12">
        <f t="shared" si="31"/>
        <v>-196</v>
      </c>
      <c r="BB8" s="14">
        <f t="shared" si="32"/>
        <v>-224375.23809526983</v>
      </c>
      <c r="BC8" s="13">
        <f t="shared" si="33"/>
        <v>-0.45541691232637871</v>
      </c>
      <c r="BE8" s="16"/>
      <c r="BF8" s="15" t="s">
        <v>9</v>
      </c>
      <c r="BG8" s="12">
        <v>0</v>
      </c>
      <c r="BH8" s="14">
        <v>0</v>
      </c>
      <c r="BI8" s="12">
        <f t="shared" si="34"/>
        <v>-184</v>
      </c>
      <c r="BJ8" s="14">
        <f t="shared" si="35"/>
        <v>-268305.71428550006</v>
      </c>
      <c r="BK8" s="13">
        <f t="shared" si="36"/>
        <v>-1</v>
      </c>
      <c r="BL8" s="35"/>
      <c r="BM8" s="16"/>
      <c r="BN8" s="15" t="s">
        <v>9</v>
      </c>
      <c r="BO8" s="12">
        <v>0</v>
      </c>
      <c r="BP8" s="14">
        <v>0</v>
      </c>
      <c r="BQ8" s="12">
        <f t="shared" si="37"/>
        <v>0</v>
      </c>
      <c r="BR8" s="14">
        <f t="shared" si="38"/>
        <v>0</v>
      </c>
      <c r="BS8" s="13" t="e">
        <f t="shared" si="39"/>
        <v>#DIV/0!</v>
      </c>
      <c r="BU8" s="16"/>
      <c r="BV8" s="15" t="s">
        <v>9</v>
      </c>
      <c r="BW8" s="12">
        <v>0</v>
      </c>
      <c r="BX8" s="14">
        <v>0</v>
      </c>
      <c r="BY8" s="12">
        <f t="shared" si="40"/>
        <v>0</v>
      </c>
      <c r="BZ8" s="14">
        <f t="shared" si="41"/>
        <v>0</v>
      </c>
      <c r="CA8" s="13" t="e">
        <f t="shared" si="42"/>
        <v>#DIV/0!</v>
      </c>
      <c r="CC8" s="16"/>
      <c r="CD8" s="15" t="s">
        <v>9</v>
      </c>
      <c r="CE8" s="12">
        <v>0</v>
      </c>
      <c r="CF8" s="14">
        <v>0</v>
      </c>
      <c r="CG8" s="12">
        <f t="shared" si="43"/>
        <v>0</v>
      </c>
      <c r="CH8" s="14">
        <f t="shared" si="44"/>
        <v>0</v>
      </c>
      <c r="CI8" s="13" t="e">
        <f t="shared" si="45"/>
        <v>#DIV/0!</v>
      </c>
      <c r="CK8" s="16"/>
      <c r="CL8" s="15" t="s">
        <v>9</v>
      </c>
      <c r="CM8" s="12">
        <v>0</v>
      </c>
      <c r="CN8" s="14">
        <v>0</v>
      </c>
      <c r="CO8" s="12">
        <f t="shared" si="46"/>
        <v>0</v>
      </c>
      <c r="CP8" s="14">
        <f t="shared" si="47"/>
        <v>0</v>
      </c>
      <c r="CQ8" s="13" t="e">
        <f t="shared" si="48"/>
        <v>#DIV/0!</v>
      </c>
      <c r="CS8" s="16"/>
      <c r="CT8" s="15" t="s">
        <v>9</v>
      </c>
      <c r="CU8" s="12">
        <v>7</v>
      </c>
      <c r="CV8" s="14">
        <v>86667</v>
      </c>
      <c r="CW8" s="12">
        <f t="shared" si="49"/>
        <v>7</v>
      </c>
      <c r="CX8" s="14">
        <f t="shared" si="50"/>
        <v>86667</v>
      </c>
      <c r="CY8" s="13" t="e">
        <f t="shared" si="51"/>
        <v>#DIV/0!</v>
      </c>
    </row>
    <row r="9" spans="1:103" s="12" customFormat="1" ht="20" customHeight="1">
      <c r="A9" s="16"/>
      <c r="B9" s="15" t="s">
        <v>8</v>
      </c>
      <c r="C9" s="12">
        <v>147</v>
      </c>
      <c r="D9" s="14">
        <v>981172.38095235999</v>
      </c>
      <c r="F9" s="14"/>
      <c r="G9" s="13"/>
      <c r="I9" s="16"/>
      <c r="J9" s="15" t="s">
        <v>8</v>
      </c>
      <c r="K9" s="12">
        <v>205</v>
      </c>
      <c r="L9" s="14">
        <v>1338047.6190475998</v>
      </c>
      <c r="M9" s="12">
        <f t="shared" si="16"/>
        <v>58</v>
      </c>
      <c r="N9" s="14">
        <f t="shared" si="17"/>
        <v>356875.23809523985</v>
      </c>
      <c r="O9" s="13">
        <f t="shared" si="18"/>
        <v>0.36372328147765876</v>
      </c>
      <c r="Q9" s="16"/>
      <c r="R9" s="15" t="s">
        <v>8</v>
      </c>
      <c r="S9" s="12">
        <v>189</v>
      </c>
      <c r="T9" s="14">
        <v>1239704.76190473</v>
      </c>
      <c r="U9" s="12">
        <f t="shared" si="19"/>
        <v>-16</v>
      </c>
      <c r="V9" s="14">
        <f t="shared" si="20"/>
        <v>-98342.857142869849</v>
      </c>
      <c r="W9" s="13">
        <f t="shared" si="21"/>
        <v>-7.3497277483195012E-2</v>
      </c>
      <c r="Y9" s="16"/>
      <c r="Z9" s="15" t="s">
        <v>8</v>
      </c>
      <c r="AA9" s="12">
        <v>215</v>
      </c>
      <c r="AB9" s="14">
        <v>1511881.9047618699</v>
      </c>
      <c r="AC9" s="14">
        <f t="shared" si="22"/>
        <v>26</v>
      </c>
      <c r="AD9" s="14">
        <f t="shared" si="23"/>
        <v>272177.14285713993</v>
      </c>
      <c r="AE9" s="13">
        <f t="shared" si="24"/>
        <v>0.21954996965483661</v>
      </c>
      <c r="AG9" s="16"/>
      <c r="AH9" s="15" t="s">
        <v>8</v>
      </c>
      <c r="AI9" s="12">
        <v>230</v>
      </c>
      <c r="AJ9" s="14">
        <v>1603523.8095237901</v>
      </c>
      <c r="AK9" s="12">
        <f t="shared" si="25"/>
        <v>15</v>
      </c>
      <c r="AL9" s="14">
        <f t="shared" si="26"/>
        <v>91641.904761920217</v>
      </c>
      <c r="AM9" s="13">
        <f t="shared" si="27"/>
        <v>6.0614459683181632E-2</v>
      </c>
      <c r="AO9" s="16"/>
      <c r="AP9" s="15" t="s">
        <v>8</v>
      </c>
      <c r="AQ9" s="12">
        <v>138</v>
      </c>
      <c r="AR9" s="14">
        <v>939258.09523808002</v>
      </c>
      <c r="AS9" s="12">
        <f t="shared" si="28"/>
        <v>-92</v>
      </c>
      <c r="AT9" s="14">
        <f t="shared" si="29"/>
        <v>-664265.71428571013</v>
      </c>
      <c r="AU9" s="13">
        <f t="shared" si="30"/>
        <v>-0.41425372691097229</v>
      </c>
      <c r="AW9" s="16"/>
      <c r="AX9" s="15" t="s">
        <v>8</v>
      </c>
      <c r="AY9" s="44">
        <v>74</v>
      </c>
      <c r="AZ9" s="44">
        <v>479295.23809522</v>
      </c>
      <c r="BA9" s="12">
        <f t="shared" si="31"/>
        <v>-64</v>
      </c>
      <c r="BB9" s="14">
        <f t="shared" si="32"/>
        <v>-459962.85714286001</v>
      </c>
      <c r="BC9" s="13">
        <f t="shared" si="33"/>
        <v>-0.48970869612390211</v>
      </c>
      <c r="BE9" s="16"/>
      <c r="BF9" s="15" t="s">
        <v>8</v>
      </c>
      <c r="BG9" s="12">
        <v>0</v>
      </c>
      <c r="BH9" s="14">
        <v>0</v>
      </c>
      <c r="BI9" s="12">
        <f t="shared" si="34"/>
        <v>-74</v>
      </c>
      <c r="BJ9" s="14">
        <f t="shared" si="35"/>
        <v>-479295.23809522</v>
      </c>
      <c r="BK9" s="13">
        <f t="shared" si="36"/>
        <v>-1</v>
      </c>
      <c r="BL9" s="35"/>
      <c r="BM9" s="16"/>
      <c r="BN9" s="15" t="s">
        <v>8</v>
      </c>
      <c r="BO9" s="12">
        <v>0</v>
      </c>
      <c r="BP9" s="14">
        <v>0</v>
      </c>
      <c r="BQ9" s="12">
        <f t="shared" si="37"/>
        <v>0</v>
      </c>
      <c r="BR9" s="14">
        <f t="shared" si="38"/>
        <v>0</v>
      </c>
      <c r="BS9" s="13" t="e">
        <f t="shared" si="39"/>
        <v>#DIV/0!</v>
      </c>
      <c r="BU9" s="16"/>
      <c r="BV9" s="15" t="s">
        <v>8</v>
      </c>
      <c r="BW9" s="12">
        <v>0</v>
      </c>
      <c r="BX9" s="14">
        <v>0</v>
      </c>
      <c r="BY9" s="12">
        <f t="shared" si="40"/>
        <v>0</v>
      </c>
      <c r="BZ9" s="14">
        <f t="shared" si="41"/>
        <v>0</v>
      </c>
      <c r="CA9" s="13" t="e">
        <f t="shared" si="42"/>
        <v>#DIV/0!</v>
      </c>
      <c r="CC9" s="16"/>
      <c r="CD9" s="15" t="s">
        <v>8</v>
      </c>
      <c r="CE9" s="12">
        <v>0</v>
      </c>
      <c r="CF9" s="14">
        <v>0</v>
      </c>
      <c r="CG9" s="12">
        <f t="shared" si="43"/>
        <v>0</v>
      </c>
      <c r="CH9" s="14">
        <f t="shared" si="44"/>
        <v>0</v>
      </c>
      <c r="CI9" s="13" t="e">
        <f t="shared" si="45"/>
        <v>#DIV/0!</v>
      </c>
      <c r="CK9" s="16"/>
      <c r="CL9" s="15" t="s">
        <v>8</v>
      </c>
      <c r="CM9" s="12">
        <v>0</v>
      </c>
      <c r="CN9" s="14">
        <v>0</v>
      </c>
      <c r="CO9" s="12">
        <f t="shared" si="46"/>
        <v>0</v>
      </c>
      <c r="CP9" s="14">
        <f t="shared" si="47"/>
        <v>0</v>
      </c>
      <c r="CQ9" s="13" t="e">
        <f t="shared" si="48"/>
        <v>#DIV/0!</v>
      </c>
      <c r="CS9" s="16"/>
      <c r="CT9" s="15" t="s">
        <v>8</v>
      </c>
      <c r="CU9" s="12">
        <v>0</v>
      </c>
      <c r="CV9" s="14">
        <v>0</v>
      </c>
      <c r="CW9" s="12">
        <f t="shared" si="49"/>
        <v>0</v>
      </c>
      <c r="CX9" s="14">
        <f t="shared" si="50"/>
        <v>0</v>
      </c>
      <c r="CY9" s="13" t="e">
        <f t="shared" si="51"/>
        <v>#DIV/0!</v>
      </c>
    </row>
    <row r="10" spans="1:103" s="12" customFormat="1" ht="20" customHeight="1">
      <c r="A10" s="16"/>
      <c r="B10" s="15" t="s">
        <v>7</v>
      </c>
      <c r="C10" s="12">
        <v>49</v>
      </c>
      <c r="D10" s="14">
        <v>642491.42857131013</v>
      </c>
      <c r="F10" s="14"/>
      <c r="G10" s="13"/>
      <c r="I10" s="16"/>
      <c r="J10" s="15" t="s">
        <v>7</v>
      </c>
      <c r="K10" s="12">
        <v>112</v>
      </c>
      <c r="L10" s="14">
        <v>1679167.6190474101</v>
      </c>
      <c r="M10" s="12">
        <f t="shared" si="16"/>
        <v>63</v>
      </c>
      <c r="N10" s="14">
        <f t="shared" si="17"/>
        <v>1036676.1904761</v>
      </c>
      <c r="O10" s="13">
        <f t="shared" si="18"/>
        <v>1.613525324036349</v>
      </c>
      <c r="Q10" s="16"/>
      <c r="R10" s="15" t="s">
        <v>7</v>
      </c>
      <c r="S10" s="12">
        <v>109</v>
      </c>
      <c r="T10" s="14">
        <v>1542152.3809522502</v>
      </c>
      <c r="U10" s="12">
        <f t="shared" si="19"/>
        <v>-3</v>
      </c>
      <c r="V10" s="14">
        <f t="shared" si="20"/>
        <v>-137015.23809515988</v>
      </c>
      <c r="W10" s="13">
        <f t="shared" si="21"/>
        <v>-8.1597117846334166E-2</v>
      </c>
      <c r="Y10" s="16"/>
      <c r="Z10" s="15" t="s">
        <v>7</v>
      </c>
      <c r="AA10" s="12">
        <v>79</v>
      </c>
      <c r="AB10" s="14">
        <v>1057184.7619046702</v>
      </c>
      <c r="AC10" s="14">
        <f t="shared" si="22"/>
        <v>-30</v>
      </c>
      <c r="AD10" s="14">
        <f t="shared" si="23"/>
        <v>-484967.61904758005</v>
      </c>
      <c r="AE10" s="13">
        <f t="shared" si="24"/>
        <v>-0.31447451304917201</v>
      </c>
      <c r="AG10" s="16"/>
      <c r="AH10" s="15" t="s">
        <v>7</v>
      </c>
      <c r="AI10" s="12">
        <v>61</v>
      </c>
      <c r="AJ10" s="14">
        <v>826931.42857132992</v>
      </c>
      <c r="AK10" s="12">
        <f t="shared" si="25"/>
        <v>-18</v>
      </c>
      <c r="AL10" s="14">
        <f t="shared" si="26"/>
        <v>-230253.33333334024</v>
      </c>
      <c r="AM10" s="13">
        <f t="shared" si="27"/>
        <v>-0.21779857375025516</v>
      </c>
      <c r="AO10" s="16"/>
      <c r="AP10" s="15" t="s">
        <v>7</v>
      </c>
      <c r="AQ10" s="12">
        <v>86</v>
      </c>
      <c r="AR10" s="14">
        <v>1162028.5714284098</v>
      </c>
      <c r="AS10" s="12">
        <f t="shared" si="28"/>
        <v>25</v>
      </c>
      <c r="AT10" s="14">
        <f t="shared" si="29"/>
        <v>335097.14285707986</v>
      </c>
      <c r="AU10" s="13">
        <f t="shared" si="30"/>
        <v>0.40522966146784306</v>
      </c>
      <c r="AW10" s="16"/>
      <c r="AX10" s="15" t="s">
        <v>7</v>
      </c>
      <c r="AY10" s="44">
        <v>37</v>
      </c>
      <c r="AZ10" s="44">
        <v>445977.14285707998</v>
      </c>
      <c r="BA10" s="12">
        <f t="shared" si="31"/>
        <v>-49</v>
      </c>
      <c r="BB10" s="14">
        <f t="shared" si="32"/>
        <v>-716051.4285713298</v>
      </c>
      <c r="BC10" s="13">
        <f t="shared" si="33"/>
        <v>-0.61620810897199552</v>
      </c>
      <c r="BE10" s="16"/>
      <c r="BF10" s="15" t="s">
        <v>7</v>
      </c>
      <c r="BG10" s="12">
        <v>0</v>
      </c>
      <c r="BH10" s="14">
        <v>0</v>
      </c>
      <c r="BI10" s="12">
        <f t="shared" si="34"/>
        <v>-37</v>
      </c>
      <c r="BJ10" s="14">
        <f t="shared" si="35"/>
        <v>-445977.14285707998</v>
      </c>
      <c r="BK10" s="13">
        <f t="shared" si="36"/>
        <v>-1</v>
      </c>
      <c r="BL10" s="35"/>
      <c r="BM10" s="16"/>
      <c r="BN10" s="15" t="s">
        <v>7</v>
      </c>
      <c r="BO10" s="12">
        <v>0</v>
      </c>
      <c r="BP10" s="14">
        <v>0</v>
      </c>
      <c r="BQ10" s="12">
        <f t="shared" si="37"/>
        <v>0</v>
      </c>
      <c r="BR10" s="14">
        <f t="shared" si="38"/>
        <v>0</v>
      </c>
      <c r="BS10" s="13" t="e">
        <f t="shared" si="39"/>
        <v>#DIV/0!</v>
      </c>
      <c r="BU10" s="16"/>
      <c r="BV10" s="15" t="s">
        <v>7</v>
      </c>
      <c r="BW10" s="12">
        <v>0</v>
      </c>
      <c r="BX10" s="14">
        <v>0</v>
      </c>
      <c r="BY10" s="12">
        <f t="shared" si="40"/>
        <v>0</v>
      </c>
      <c r="BZ10" s="14">
        <f t="shared" si="41"/>
        <v>0</v>
      </c>
      <c r="CA10" s="13" t="e">
        <f t="shared" si="42"/>
        <v>#DIV/0!</v>
      </c>
      <c r="CC10" s="16"/>
      <c r="CD10" s="15" t="s">
        <v>7</v>
      </c>
      <c r="CE10" s="12">
        <v>0</v>
      </c>
      <c r="CF10" s="14">
        <v>0</v>
      </c>
      <c r="CG10" s="12">
        <f t="shared" si="43"/>
        <v>0</v>
      </c>
      <c r="CH10" s="14">
        <f t="shared" si="44"/>
        <v>0</v>
      </c>
      <c r="CI10" s="13" t="e">
        <f t="shared" si="45"/>
        <v>#DIV/0!</v>
      </c>
      <c r="CK10" s="16"/>
      <c r="CL10" s="15" t="s">
        <v>7</v>
      </c>
      <c r="CM10" s="12">
        <v>0</v>
      </c>
      <c r="CN10" s="14">
        <v>0</v>
      </c>
      <c r="CO10" s="12">
        <f t="shared" si="46"/>
        <v>0</v>
      </c>
      <c r="CP10" s="14">
        <f t="shared" si="47"/>
        <v>0</v>
      </c>
      <c r="CQ10" s="13" t="e">
        <f t="shared" si="48"/>
        <v>#DIV/0!</v>
      </c>
      <c r="CS10" s="16"/>
      <c r="CT10" s="15" t="s">
        <v>7</v>
      </c>
      <c r="CU10" s="12">
        <v>0</v>
      </c>
      <c r="CV10" s="14">
        <v>0</v>
      </c>
      <c r="CW10" s="12">
        <f t="shared" si="49"/>
        <v>0</v>
      </c>
      <c r="CX10" s="14">
        <f t="shared" si="50"/>
        <v>0</v>
      </c>
      <c r="CY10" s="13" t="e">
        <f t="shared" si="51"/>
        <v>#DIV/0!</v>
      </c>
    </row>
    <row r="11" spans="1:103" s="12" customFormat="1" ht="20" customHeight="1">
      <c r="A11" s="16"/>
      <c r="B11" s="15" t="s">
        <v>6</v>
      </c>
      <c r="C11" s="12">
        <v>7</v>
      </c>
      <c r="D11" s="14">
        <v>19999.999999989999</v>
      </c>
      <c r="F11" s="14"/>
      <c r="G11" s="13"/>
      <c r="I11" s="16"/>
      <c r="J11" s="15" t="s">
        <v>6</v>
      </c>
      <c r="K11" s="12">
        <v>6</v>
      </c>
      <c r="L11" s="14">
        <v>17142.85714285</v>
      </c>
      <c r="M11" s="12">
        <f t="shared" si="16"/>
        <v>-1</v>
      </c>
      <c r="N11" s="14">
        <f t="shared" si="17"/>
        <v>-2857.1428571399993</v>
      </c>
      <c r="O11" s="13">
        <f t="shared" si="18"/>
        <v>-0.14285714285707141</v>
      </c>
      <c r="Q11" s="16"/>
      <c r="R11" s="15" t="s">
        <v>6</v>
      </c>
      <c r="S11" s="12">
        <v>6</v>
      </c>
      <c r="T11" s="14">
        <v>17142.857142840003</v>
      </c>
      <c r="U11" s="12">
        <f t="shared" si="19"/>
        <v>0</v>
      </c>
      <c r="V11" s="14">
        <f t="shared" si="20"/>
        <v>-9.9971657618880272E-9</v>
      </c>
      <c r="W11" s="13">
        <f t="shared" si="21"/>
        <v>-5.8316800277704462E-13</v>
      </c>
      <c r="Y11" s="16"/>
      <c r="Z11" s="15" t="s">
        <v>6</v>
      </c>
      <c r="AA11" s="12">
        <v>17</v>
      </c>
      <c r="AB11" s="14">
        <v>57609.52380950001</v>
      </c>
      <c r="AC11" s="14">
        <f t="shared" si="22"/>
        <v>11</v>
      </c>
      <c r="AD11" s="14">
        <f t="shared" si="23"/>
        <v>40466.666666660007</v>
      </c>
      <c r="AE11" s="13">
        <f t="shared" si="24"/>
        <v>2.3605555555575273</v>
      </c>
      <c r="AG11" s="16"/>
      <c r="AH11" s="15" t="s">
        <v>6</v>
      </c>
      <c r="AI11" s="12">
        <v>12</v>
      </c>
      <c r="AJ11" s="14">
        <v>45441.904761869999</v>
      </c>
      <c r="AK11" s="12">
        <f t="shared" si="25"/>
        <v>-5</v>
      </c>
      <c r="AL11" s="14">
        <f t="shared" si="26"/>
        <v>-12167.619047630011</v>
      </c>
      <c r="AM11" s="13">
        <f t="shared" si="27"/>
        <v>-0.21120846420923772</v>
      </c>
      <c r="AO11" s="16"/>
      <c r="AP11" s="15" t="s">
        <v>6</v>
      </c>
      <c r="AQ11" s="12">
        <v>18</v>
      </c>
      <c r="AR11" s="14">
        <v>59028.57142855</v>
      </c>
      <c r="AS11" s="12">
        <f t="shared" si="28"/>
        <v>6</v>
      </c>
      <c r="AT11" s="14">
        <f t="shared" si="29"/>
        <v>13586.666666680001</v>
      </c>
      <c r="AU11" s="13">
        <f t="shared" si="30"/>
        <v>0.29898981431078747</v>
      </c>
      <c r="AW11" s="16"/>
      <c r="AX11" s="15" t="s">
        <v>6</v>
      </c>
      <c r="AY11" s="44">
        <v>7</v>
      </c>
      <c r="AZ11" s="44">
        <v>25999.999999989999</v>
      </c>
      <c r="BA11" s="12">
        <f t="shared" si="31"/>
        <v>-11</v>
      </c>
      <c r="BB11" s="14">
        <f t="shared" si="32"/>
        <v>-33028.571428559997</v>
      </c>
      <c r="BC11" s="13">
        <f t="shared" si="33"/>
        <v>-0.55953533397871225</v>
      </c>
      <c r="BE11" s="16"/>
      <c r="BF11" s="15" t="s">
        <v>6</v>
      </c>
      <c r="BG11" s="12">
        <v>0</v>
      </c>
      <c r="BH11" s="14">
        <v>0</v>
      </c>
      <c r="BI11" s="12">
        <f t="shared" si="34"/>
        <v>-7</v>
      </c>
      <c r="BJ11" s="14">
        <f t="shared" si="35"/>
        <v>-25999.999999989999</v>
      </c>
      <c r="BK11" s="13">
        <f t="shared" si="36"/>
        <v>-1</v>
      </c>
      <c r="BL11" s="35"/>
      <c r="BM11" s="16"/>
      <c r="BN11" s="15" t="s">
        <v>6</v>
      </c>
      <c r="BO11" s="12">
        <v>0</v>
      </c>
      <c r="BP11" s="14">
        <v>0</v>
      </c>
      <c r="BQ11" s="12">
        <f t="shared" si="37"/>
        <v>0</v>
      </c>
      <c r="BR11" s="14">
        <f t="shared" si="38"/>
        <v>0</v>
      </c>
      <c r="BS11" s="13" t="e">
        <f t="shared" si="39"/>
        <v>#DIV/0!</v>
      </c>
      <c r="BU11" s="16"/>
      <c r="BV11" s="15" t="s">
        <v>6</v>
      </c>
      <c r="BW11" s="12">
        <v>0</v>
      </c>
      <c r="BX11" s="14">
        <v>0</v>
      </c>
      <c r="BY11" s="12">
        <f t="shared" si="40"/>
        <v>0</v>
      </c>
      <c r="BZ11" s="14">
        <f t="shared" si="41"/>
        <v>0</v>
      </c>
      <c r="CA11" s="13" t="e">
        <f t="shared" si="42"/>
        <v>#DIV/0!</v>
      </c>
      <c r="CC11" s="16"/>
      <c r="CD11" s="15" t="s">
        <v>6</v>
      </c>
      <c r="CE11" s="12">
        <v>0</v>
      </c>
      <c r="CF11" s="14">
        <v>0</v>
      </c>
      <c r="CG11" s="12">
        <f t="shared" si="43"/>
        <v>0</v>
      </c>
      <c r="CH11" s="14">
        <f t="shared" si="44"/>
        <v>0</v>
      </c>
      <c r="CI11" s="13" t="e">
        <f t="shared" si="45"/>
        <v>#DIV/0!</v>
      </c>
      <c r="CK11" s="16"/>
      <c r="CL11" s="15" t="s">
        <v>6</v>
      </c>
      <c r="CM11" s="12">
        <v>0</v>
      </c>
      <c r="CN11" s="14">
        <v>0</v>
      </c>
      <c r="CO11" s="12">
        <f t="shared" si="46"/>
        <v>0</v>
      </c>
      <c r="CP11" s="14">
        <f t="shared" si="47"/>
        <v>0</v>
      </c>
      <c r="CQ11" s="13" t="e">
        <f t="shared" si="48"/>
        <v>#DIV/0!</v>
      </c>
      <c r="CS11" s="16"/>
      <c r="CT11" s="15" t="s">
        <v>6</v>
      </c>
      <c r="CU11" s="12">
        <v>0</v>
      </c>
      <c r="CV11" s="14">
        <v>0</v>
      </c>
      <c r="CW11" s="12">
        <f t="shared" si="49"/>
        <v>0</v>
      </c>
      <c r="CX11" s="14">
        <f t="shared" si="50"/>
        <v>0</v>
      </c>
      <c r="CY11" s="13" t="e">
        <f t="shared" si="51"/>
        <v>#DIV/0!</v>
      </c>
    </row>
    <row r="12" spans="1:103" s="12" customFormat="1" ht="20" customHeight="1">
      <c r="A12" s="16"/>
      <c r="B12" s="15" t="s">
        <v>5</v>
      </c>
      <c r="C12" s="12">
        <v>25</v>
      </c>
      <c r="D12" s="14">
        <v>96160</v>
      </c>
      <c r="F12" s="14"/>
      <c r="G12" s="13"/>
      <c r="I12" s="16"/>
      <c r="J12" s="15" t="s">
        <v>5</v>
      </c>
      <c r="K12" s="12">
        <v>21</v>
      </c>
      <c r="L12" s="14">
        <v>95690</v>
      </c>
      <c r="M12" s="12">
        <f t="shared" si="16"/>
        <v>-4</v>
      </c>
      <c r="N12" s="14">
        <f t="shared" si="17"/>
        <v>-470</v>
      </c>
      <c r="O12" s="13">
        <f t="shared" si="18"/>
        <v>-4.8876871880199667E-3</v>
      </c>
      <c r="Q12" s="16"/>
      <c r="R12" s="15" t="s">
        <v>5</v>
      </c>
      <c r="S12" s="12">
        <v>21</v>
      </c>
      <c r="T12" s="14">
        <v>80490</v>
      </c>
      <c r="U12" s="12">
        <f t="shared" si="19"/>
        <v>0</v>
      </c>
      <c r="V12" s="14">
        <f t="shared" si="20"/>
        <v>-15200</v>
      </c>
      <c r="W12" s="13">
        <f t="shared" si="21"/>
        <v>-0.15884627442783991</v>
      </c>
      <c r="Y12" s="16"/>
      <c r="Z12" s="15" t="s">
        <v>5</v>
      </c>
      <c r="AA12" s="12">
        <v>16</v>
      </c>
      <c r="AB12" s="14">
        <v>94140</v>
      </c>
      <c r="AC12" s="14">
        <f t="shared" si="22"/>
        <v>-5</v>
      </c>
      <c r="AD12" s="14">
        <f t="shared" si="23"/>
        <v>13650</v>
      </c>
      <c r="AE12" s="13">
        <f t="shared" si="24"/>
        <v>0.16958628401043607</v>
      </c>
      <c r="AG12" s="16"/>
      <c r="AH12" s="15" t="s">
        <v>5</v>
      </c>
      <c r="AI12" s="12">
        <v>27</v>
      </c>
      <c r="AJ12" s="14">
        <v>100430</v>
      </c>
      <c r="AK12" s="12">
        <f t="shared" si="25"/>
        <v>11</v>
      </c>
      <c r="AL12" s="14">
        <f t="shared" si="26"/>
        <v>6290</v>
      </c>
      <c r="AM12" s="13">
        <f t="shared" si="27"/>
        <v>6.6815381346930103E-2</v>
      </c>
      <c r="AO12" s="16"/>
      <c r="AP12" s="15" t="s">
        <v>5</v>
      </c>
      <c r="AQ12" s="12">
        <v>13</v>
      </c>
      <c r="AR12" s="14">
        <v>53370</v>
      </c>
      <c r="AS12" s="12">
        <f t="shared" si="28"/>
        <v>-14</v>
      </c>
      <c r="AT12" s="14">
        <f t="shared" si="29"/>
        <v>-47060</v>
      </c>
      <c r="AU12" s="13">
        <f t="shared" si="30"/>
        <v>-0.46858508413820571</v>
      </c>
      <c r="AW12" s="16"/>
      <c r="AX12" s="15" t="s">
        <v>5</v>
      </c>
      <c r="AY12" s="44">
        <v>12</v>
      </c>
      <c r="AZ12" s="44">
        <v>54980</v>
      </c>
      <c r="BA12" s="12">
        <f t="shared" si="31"/>
        <v>-1</v>
      </c>
      <c r="BB12" s="14">
        <f t="shared" si="32"/>
        <v>1610</v>
      </c>
      <c r="BC12" s="13">
        <f t="shared" si="33"/>
        <v>3.0166760352257824E-2</v>
      </c>
      <c r="BE12" s="16"/>
      <c r="BF12" s="15" t="s">
        <v>5</v>
      </c>
      <c r="BG12" s="12">
        <v>0</v>
      </c>
      <c r="BH12" s="14">
        <v>0</v>
      </c>
      <c r="BI12" s="12">
        <f t="shared" si="34"/>
        <v>-12</v>
      </c>
      <c r="BJ12" s="14">
        <f t="shared" si="35"/>
        <v>-54980</v>
      </c>
      <c r="BK12" s="13">
        <f t="shared" si="36"/>
        <v>-1</v>
      </c>
      <c r="BL12" s="35"/>
      <c r="BM12" s="16"/>
      <c r="BN12" s="15" t="s">
        <v>5</v>
      </c>
      <c r="BO12" s="12">
        <v>0</v>
      </c>
      <c r="BP12" s="14">
        <v>0</v>
      </c>
      <c r="BQ12" s="12">
        <f t="shared" si="37"/>
        <v>0</v>
      </c>
      <c r="BR12" s="14">
        <f t="shared" si="38"/>
        <v>0</v>
      </c>
      <c r="BS12" s="13" t="e">
        <f t="shared" si="39"/>
        <v>#DIV/0!</v>
      </c>
      <c r="BU12" s="16"/>
      <c r="BV12" s="15" t="s">
        <v>5</v>
      </c>
      <c r="BW12" s="12">
        <v>0</v>
      </c>
      <c r="BX12" s="14">
        <v>0</v>
      </c>
      <c r="BY12" s="12">
        <f t="shared" si="40"/>
        <v>0</v>
      </c>
      <c r="BZ12" s="14">
        <f t="shared" si="41"/>
        <v>0</v>
      </c>
      <c r="CA12" s="13" t="e">
        <f t="shared" si="42"/>
        <v>#DIV/0!</v>
      </c>
      <c r="CC12" s="16"/>
      <c r="CD12" s="15" t="s">
        <v>5</v>
      </c>
      <c r="CE12" s="12">
        <v>0</v>
      </c>
      <c r="CF12" s="14">
        <v>0</v>
      </c>
      <c r="CG12" s="12">
        <f t="shared" si="43"/>
        <v>0</v>
      </c>
      <c r="CH12" s="14">
        <f t="shared" si="44"/>
        <v>0</v>
      </c>
      <c r="CI12" s="13" t="e">
        <f t="shared" si="45"/>
        <v>#DIV/0!</v>
      </c>
      <c r="CK12" s="16"/>
      <c r="CL12" s="15" t="s">
        <v>5</v>
      </c>
      <c r="CM12" s="12">
        <v>0</v>
      </c>
      <c r="CN12" s="14">
        <v>0</v>
      </c>
      <c r="CO12" s="12">
        <f t="shared" si="46"/>
        <v>0</v>
      </c>
      <c r="CP12" s="14">
        <f t="shared" si="47"/>
        <v>0</v>
      </c>
      <c r="CQ12" s="13" t="e">
        <f t="shared" si="48"/>
        <v>#DIV/0!</v>
      </c>
      <c r="CS12" s="16"/>
      <c r="CT12" s="15" t="s">
        <v>5</v>
      </c>
      <c r="CU12" s="12">
        <v>0</v>
      </c>
      <c r="CV12" s="14">
        <v>0</v>
      </c>
      <c r="CW12" s="12">
        <f t="shared" si="49"/>
        <v>0</v>
      </c>
      <c r="CX12" s="14">
        <f t="shared" si="50"/>
        <v>0</v>
      </c>
      <c r="CY12" s="13" t="e">
        <f t="shared" si="51"/>
        <v>#DIV/0!</v>
      </c>
    </row>
    <row r="13" spans="1:103" s="12" customFormat="1" ht="20" customHeight="1">
      <c r="A13" s="16"/>
      <c r="B13" s="15" t="s">
        <v>4</v>
      </c>
      <c r="C13" s="12">
        <v>31</v>
      </c>
      <c r="D13" s="14">
        <v>1302566.6666665699</v>
      </c>
      <c r="F13" s="14"/>
      <c r="G13" s="13"/>
      <c r="I13" s="16"/>
      <c r="J13" s="15" t="s">
        <v>4</v>
      </c>
      <c r="K13" s="12">
        <v>35</v>
      </c>
      <c r="L13" s="14">
        <v>1809785.7142856002</v>
      </c>
      <c r="M13" s="12">
        <f t="shared" si="16"/>
        <v>4</v>
      </c>
      <c r="N13" s="14">
        <f t="shared" si="17"/>
        <v>507219.04761903035</v>
      </c>
      <c r="O13" s="13">
        <f t="shared" si="18"/>
        <v>0.38939968340896286</v>
      </c>
      <c r="Q13" s="16"/>
      <c r="R13" s="15" t="s">
        <v>4</v>
      </c>
      <c r="S13" s="12">
        <v>37</v>
      </c>
      <c r="T13" s="14">
        <v>1839276.1904760501</v>
      </c>
      <c r="U13" s="12">
        <f t="shared" si="19"/>
        <v>2</v>
      </c>
      <c r="V13" s="14">
        <f t="shared" si="20"/>
        <v>29490.476190449903</v>
      </c>
      <c r="W13" s="13">
        <f t="shared" si="21"/>
        <v>1.629500993275939E-2</v>
      </c>
      <c r="Y13" s="16"/>
      <c r="Z13" s="15" t="s">
        <v>4</v>
      </c>
      <c r="AA13" s="12">
        <v>52</v>
      </c>
      <c r="AB13" s="14">
        <v>2576623.8095236104</v>
      </c>
      <c r="AC13" s="14">
        <f t="shared" si="22"/>
        <v>15</v>
      </c>
      <c r="AD13" s="14">
        <f t="shared" si="23"/>
        <v>737347.61904756026</v>
      </c>
      <c r="AE13" s="13">
        <f t="shared" si="24"/>
        <v>0.40089010169631811</v>
      </c>
      <c r="AG13" s="16"/>
      <c r="AH13" s="15" t="s">
        <v>4</v>
      </c>
      <c r="AI13" s="12">
        <v>45</v>
      </c>
      <c r="AJ13" s="14">
        <v>1800947.6190474899</v>
      </c>
      <c r="AK13" s="12">
        <f t="shared" si="25"/>
        <v>-7</v>
      </c>
      <c r="AL13" s="14">
        <f t="shared" si="26"/>
        <v>-775676.19047612045</v>
      </c>
      <c r="AM13" s="13">
        <f t="shared" si="27"/>
        <v>-0.30104363221712777</v>
      </c>
      <c r="AO13" s="16"/>
      <c r="AP13" s="15" t="s">
        <v>4</v>
      </c>
      <c r="AQ13" s="12">
        <v>40</v>
      </c>
      <c r="AR13" s="14">
        <v>1726419.0476188902</v>
      </c>
      <c r="AS13" s="12">
        <f t="shared" si="28"/>
        <v>-5</v>
      </c>
      <c r="AT13" s="14">
        <f t="shared" si="29"/>
        <v>-74528.571428599767</v>
      </c>
      <c r="AU13" s="13">
        <f t="shared" si="30"/>
        <v>-4.1382975629250932E-2</v>
      </c>
      <c r="AW13" s="16"/>
      <c r="AX13" s="15" t="s">
        <v>4</v>
      </c>
      <c r="AY13" s="44">
        <v>20</v>
      </c>
      <c r="AZ13" s="44">
        <v>910076.19047613</v>
      </c>
      <c r="BA13" s="12">
        <f t="shared" si="31"/>
        <v>-20</v>
      </c>
      <c r="BB13" s="14">
        <f t="shared" si="32"/>
        <v>-816342.85714276019</v>
      </c>
      <c r="BC13" s="13">
        <f t="shared" si="33"/>
        <v>-0.47285324977656829</v>
      </c>
      <c r="BE13" s="16"/>
      <c r="BF13" s="15" t="s">
        <v>4</v>
      </c>
      <c r="BG13" s="12">
        <v>0</v>
      </c>
      <c r="BH13" s="14">
        <v>0</v>
      </c>
      <c r="BI13" s="12">
        <f t="shared" si="34"/>
        <v>-20</v>
      </c>
      <c r="BJ13" s="14">
        <f t="shared" si="35"/>
        <v>-910076.19047613</v>
      </c>
      <c r="BK13" s="13">
        <f t="shared" si="36"/>
        <v>-1</v>
      </c>
      <c r="BL13" s="35"/>
      <c r="BM13" s="16"/>
      <c r="BN13" s="15" t="s">
        <v>4</v>
      </c>
      <c r="BO13" s="12">
        <v>0</v>
      </c>
      <c r="BP13" s="14">
        <v>0</v>
      </c>
      <c r="BQ13" s="12">
        <f t="shared" si="37"/>
        <v>0</v>
      </c>
      <c r="BR13" s="14">
        <f t="shared" si="38"/>
        <v>0</v>
      </c>
      <c r="BS13" s="13" t="e">
        <f t="shared" si="39"/>
        <v>#DIV/0!</v>
      </c>
      <c r="BU13" s="16"/>
      <c r="BV13" s="15" t="s">
        <v>4</v>
      </c>
      <c r="BW13" s="12">
        <v>0</v>
      </c>
      <c r="BX13" s="14">
        <v>0</v>
      </c>
      <c r="BY13" s="12">
        <f t="shared" si="40"/>
        <v>0</v>
      </c>
      <c r="BZ13" s="14">
        <f t="shared" si="41"/>
        <v>0</v>
      </c>
      <c r="CA13" s="13" t="e">
        <f t="shared" si="42"/>
        <v>#DIV/0!</v>
      </c>
      <c r="CC13" s="16"/>
      <c r="CD13" s="15" t="s">
        <v>4</v>
      </c>
      <c r="CE13" s="12">
        <v>0</v>
      </c>
      <c r="CF13" s="14">
        <v>0</v>
      </c>
      <c r="CG13" s="12">
        <f t="shared" si="43"/>
        <v>0</v>
      </c>
      <c r="CH13" s="14">
        <f t="shared" si="44"/>
        <v>0</v>
      </c>
      <c r="CI13" s="13" t="e">
        <f t="shared" si="45"/>
        <v>#DIV/0!</v>
      </c>
      <c r="CK13" s="16"/>
      <c r="CL13" s="15" t="s">
        <v>4</v>
      </c>
      <c r="CM13" s="12">
        <v>4</v>
      </c>
      <c r="CN13" s="14">
        <v>154833</v>
      </c>
      <c r="CO13" s="12">
        <f t="shared" si="46"/>
        <v>4</v>
      </c>
      <c r="CP13" s="14">
        <f t="shared" si="47"/>
        <v>154833</v>
      </c>
      <c r="CQ13" s="13" t="e">
        <f t="shared" si="48"/>
        <v>#DIV/0!</v>
      </c>
      <c r="CS13" s="16"/>
      <c r="CT13" s="15" t="s">
        <v>4</v>
      </c>
      <c r="CU13" s="12">
        <v>0</v>
      </c>
      <c r="CV13" s="14">
        <v>0</v>
      </c>
      <c r="CW13" s="12">
        <f t="shared" si="49"/>
        <v>-4</v>
      </c>
      <c r="CX13" s="14">
        <f t="shared" si="50"/>
        <v>-154833</v>
      </c>
      <c r="CY13" s="13">
        <f t="shared" si="51"/>
        <v>-1</v>
      </c>
    </row>
    <row r="14" spans="1:103" s="12" customFormat="1" ht="20" customHeight="1">
      <c r="A14" s="16"/>
      <c r="B14" s="15" t="s">
        <v>3</v>
      </c>
      <c r="C14" s="12">
        <v>81</v>
      </c>
      <c r="D14" s="14">
        <v>1431523.8095236903</v>
      </c>
      <c r="F14" s="14"/>
      <c r="G14" s="13"/>
      <c r="I14" s="16"/>
      <c r="J14" s="15" t="s">
        <v>3</v>
      </c>
      <c r="K14" s="12">
        <v>107</v>
      </c>
      <c r="L14" s="14">
        <v>1999904.7619046203</v>
      </c>
      <c r="M14" s="12">
        <f t="shared" si="16"/>
        <v>26</v>
      </c>
      <c r="N14" s="14">
        <f t="shared" si="17"/>
        <v>568380.95238093007</v>
      </c>
      <c r="O14" s="13">
        <f t="shared" si="18"/>
        <v>0.39704610471693585</v>
      </c>
      <c r="Q14" s="16"/>
      <c r="R14" s="15" t="s">
        <v>3</v>
      </c>
      <c r="S14" s="12">
        <v>93</v>
      </c>
      <c r="T14" s="14">
        <v>1983619.0476189102</v>
      </c>
      <c r="U14" s="12">
        <f t="shared" si="19"/>
        <v>-14</v>
      </c>
      <c r="V14" s="14">
        <f t="shared" si="20"/>
        <v>-16285.714285710128</v>
      </c>
      <c r="W14" s="13">
        <f t="shared" si="21"/>
        <v>-8.1432449164230893E-3</v>
      </c>
      <c r="Y14" s="16"/>
      <c r="Z14" s="15" t="s">
        <v>3</v>
      </c>
      <c r="AA14" s="12">
        <v>118</v>
      </c>
      <c r="AB14" s="14">
        <v>2472571.4285712605</v>
      </c>
      <c r="AC14" s="14">
        <f t="shared" si="22"/>
        <v>25</v>
      </c>
      <c r="AD14" s="14">
        <f t="shared" si="23"/>
        <v>488952.38095235033</v>
      </c>
      <c r="AE14" s="13">
        <f t="shared" si="24"/>
        <v>0.24649510274630468</v>
      </c>
      <c r="AG14" s="16"/>
      <c r="AH14" s="15" t="s">
        <v>3</v>
      </c>
      <c r="AI14" s="12">
        <v>114</v>
      </c>
      <c r="AJ14" s="14">
        <v>2322290.4761903305</v>
      </c>
      <c r="AK14" s="12">
        <f t="shared" si="25"/>
        <v>-4</v>
      </c>
      <c r="AL14" s="14">
        <f t="shared" si="26"/>
        <v>-150280.95238093007</v>
      </c>
      <c r="AM14" s="13">
        <f t="shared" si="27"/>
        <v>-6.0779215776899813E-2</v>
      </c>
      <c r="AO14" s="16"/>
      <c r="AP14" s="15" t="s">
        <v>3</v>
      </c>
      <c r="AQ14" s="12">
        <v>105</v>
      </c>
      <c r="AR14" s="14">
        <v>2038666.6666665303</v>
      </c>
      <c r="AS14" s="12">
        <f t="shared" si="28"/>
        <v>-9</v>
      </c>
      <c r="AT14" s="14">
        <f t="shared" si="29"/>
        <v>-283623.80952380016</v>
      </c>
      <c r="AU14" s="13">
        <f t="shared" si="30"/>
        <v>-0.12213106518400711</v>
      </c>
      <c r="AW14" s="16"/>
      <c r="AX14" s="15" t="s">
        <v>3</v>
      </c>
      <c r="AY14" s="44">
        <v>53</v>
      </c>
      <c r="AZ14" s="44">
        <v>1101714.2857141702</v>
      </c>
      <c r="BA14" s="12">
        <f t="shared" si="31"/>
        <v>-52</v>
      </c>
      <c r="BB14" s="14">
        <f t="shared" si="32"/>
        <v>-936952.38095236011</v>
      </c>
      <c r="BC14" s="13">
        <f t="shared" si="33"/>
        <v>-0.45959076894330747</v>
      </c>
      <c r="BE14" s="16"/>
      <c r="BF14" s="15" t="s">
        <v>3</v>
      </c>
      <c r="BG14" s="12">
        <v>0</v>
      </c>
      <c r="BH14" s="14">
        <v>0</v>
      </c>
      <c r="BI14" s="12">
        <f t="shared" si="34"/>
        <v>-53</v>
      </c>
      <c r="BJ14" s="14">
        <f t="shared" si="35"/>
        <v>-1101714.2857141702</v>
      </c>
      <c r="BK14" s="13">
        <f t="shared" si="36"/>
        <v>-1</v>
      </c>
      <c r="BL14" s="35"/>
      <c r="BM14" s="16"/>
      <c r="BN14" s="15" t="s">
        <v>3</v>
      </c>
      <c r="BO14" s="12">
        <v>0</v>
      </c>
      <c r="BP14" s="14">
        <v>0</v>
      </c>
      <c r="BQ14" s="12">
        <f t="shared" si="37"/>
        <v>0</v>
      </c>
      <c r="BR14" s="14">
        <f t="shared" si="38"/>
        <v>0</v>
      </c>
      <c r="BS14" s="13" t="e">
        <f t="shared" si="39"/>
        <v>#DIV/0!</v>
      </c>
      <c r="BU14" s="16"/>
      <c r="BV14" s="15" t="s">
        <v>3</v>
      </c>
      <c r="BW14" s="12">
        <v>0</v>
      </c>
      <c r="BX14" s="14">
        <v>0</v>
      </c>
      <c r="BY14" s="12">
        <f t="shared" si="40"/>
        <v>0</v>
      </c>
      <c r="BZ14" s="14">
        <f t="shared" si="41"/>
        <v>0</v>
      </c>
      <c r="CA14" s="13" t="e">
        <f t="shared" si="42"/>
        <v>#DIV/0!</v>
      </c>
      <c r="CC14" s="16"/>
      <c r="CD14" s="15" t="s">
        <v>3</v>
      </c>
      <c r="CE14" s="12">
        <v>0</v>
      </c>
      <c r="CF14" s="14">
        <v>0</v>
      </c>
      <c r="CG14" s="12">
        <f t="shared" si="43"/>
        <v>0</v>
      </c>
      <c r="CH14" s="14">
        <f t="shared" si="44"/>
        <v>0</v>
      </c>
      <c r="CI14" s="13" t="e">
        <f t="shared" si="45"/>
        <v>#DIV/0!</v>
      </c>
      <c r="CK14" s="16"/>
      <c r="CL14" s="15" t="s">
        <v>3</v>
      </c>
      <c r="CM14" s="12">
        <v>1</v>
      </c>
      <c r="CN14" s="14">
        <v>18952</v>
      </c>
      <c r="CO14" s="12">
        <f t="shared" si="46"/>
        <v>1</v>
      </c>
      <c r="CP14" s="14">
        <f t="shared" si="47"/>
        <v>18952</v>
      </c>
      <c r="CQ14" s="13" t="e">
        <f t="shared" si="48"/>
        <v>#DIV/0!</v>
      </c>
      <c r="CS14" s="16"/>
      <c r="CT14" s="15" t="s">
        <v>3</v>
      </c>
      <c r="CU14" s="12">
        <v>0</v>
      </c>
      <c r="CV14" s="14">
        <v>0</v>
      </c>
      <c r="CW14" s="12">
        <f t="shared" si="49"/>
        <v>-1</v>
      </c>
      <c r="CX14" s="14">
        <f t="shared" si="50"/>
        <v>-18952</v>
      </c>
      <c r="CY14" s="13">
        <f t="shared" si="51"/>
        <v>-1</v>
      </c>
    </row>
    <row r="15" spans="1:103" s="12" customFormat="1" ht="20" customHeight="1">
      <c r="A15" s="16"/>
      <c r="B15" s="15" t="s">
        <v>2</v>
      </c>
      <c r="C15" s="12">
        <v>115</v>
      </c>
      <c r="D15" s="14">
        <v>4297619.0476189097</v>
      </c>
      <c r="F15" s="14"/>
      <c r="G15" s="13"/>
      <c r="I15" s="16"/>
      <c r="J15" s="15" t="s">
        <v>2</v>
      </c>
      <c r="K15" s="12">
        <v>224</v>
      </c>
      <c r="L15" s="14">
        <v>8568666.6666664891</v>
      </c>
      <c r="M15" s="12">
        <f t="shared" si="16"/>
        <v>109</v>
      </c>
      <c r="N15" s="14">
        <f t="shared" si="17"/>
        <v>4271047.6190475794</v>
      </c>
      <c r="O15" s="13">
        <f t="shared" si="18"/>
        <v>0.99381717451525808</v>
      </c>
      <c r="Q15" s="16"/>
      <c r="R15" s="15" t="s">
        <v>2</v>
      </c>
      <c r="S15" s="12">
        <v>211</v>
      </c>
      <c r="T15" s="14">
        <v>8503238.0952379592</v>
      </c>
      <c r="U15" s="12">
        <f t="shared" si="19"/>
        <v>-13</v>
      </c>
      <c r="V15" s="14">
        <f t="shared" si="20"/>
        <v>-65428.571428529918</v>
      </c>
      <c r="W15" s="13">
        <f t="shared" si="21"/>
        <v>-7.6357937557610606E-3</v>
      </c>
      <c r="Y15" s="16"/>
      <c r="Z15" s="15" t="s">
        <v>2</v>
      </c>
      <c r="AA15" s="12">
        <v>181</v>
      </c>
      <c r="AB15" s="14">
        <v>6998518.0952379396</v>
      </c>
      <c r="AC15" s="14">
        <f t="shared" si="22"/>
        <v>-30</v>
      </c>
      <c r="AD15" s="14">
        <f t="shared" si="23"/>
        <v>-1504720.0000000196</v>
      </c>
      <c r="AE15" s="13">
        <f t="shared" si="24"/>
        <v>-0.17695846960262152</v>
      </c>
      <c r="AG15" s="16"/>
      <c r="AH15" s="15" t="s">
        <v>2</v>
      </c>
      <c r="AI15" s="12">
        <v>183</v>
      </c>
      <c r="AJ15" s="14">
        <v>6996538.0952379499</v>
      </c>
      <c r="AK15" s="12">
        <f t="shared" si="25"/>
        <v>2</v>
      </c>
      <c r="AL15" s="14">
        <f t="shared" si="26"/>
        <v>-1979.9999999897555</v>
      </c>
      <c r="AM15" s="13">
        <f t="shared" si="27"/>
        <v>-2.8291703658479123E-4</v>
      </c>
      <c r="AO15" s="16"/>
      <c r="AP15" s="15" t="s">
        <v>2</v>
      </c>
      <c r="AQ15" s="12">
        <v>99</v>
      </c>
      <c r="AR15" s="14">
        <v>3949708.5714283893</v>
      </c>
      <c r="AS15" s="12">
        <f t="shared" si="28"/>
        <v>-84</v>
      </c>
      <c r="AT15" s="14">
        <f t="shared" si="29"/>
        <v>-3046829.5238095606</v>
      </c>
      <c r="AU15" s="13">
        <f t="shared" si="30"/>
        <v>-0.43547672896733353</v>
      </c>
      <c r="AW15" s="16"/>
      <c r="AX15" s="15" t="s">
        <v>2</v>
      </c>
      <c r="AY15" s="44">
        <v>45</v>
      </c>
      <c r="AZ15" s="44">
        <v>1794502.8571427702</v>
      </c>
      <c r="BA15" s="12">
        <f t="shared" si="31"/>
        <v>-54</v>
      </c>
      <c r="BB15" s="14">
        <f t="shared" si="32"/>
        <v>-2155205.7142856191</v>
      </c>
      <c r="BC15" s="13">
        <f t="shared" si="33"/>
        <v>-0.54566195842297327</v>
      </c>
      <c r="BE15" s="16"/>
      <c r="BF15" s="15" t="s">
        <v>2</v>
      </c>
      <c r="BG15" s="12">
        <v>0</v>
      </c>
      <c r="BH15" s="14">
        <v>0</v>
      </c>
      <c r="BI15" s="12">
        <f t="shared" si="34"/>
        <v>-45</v>
      </c>
      <c r="BJ15" s="14">
        <f t="shared" si="35"/>
        <v>-1794502.8571427702</v>
      </c>
      <c r="BK15" s="13">
        <f t="shared" si="36"/>
        <v>-1</v>
      </c>
      <c r="BL15" s="35"/>
      <c r="BM15" s="16"/>
      <c r="BN15" s="15" t="s">
        <v>2</v>
      </c>
      <c r="BO15" s="12">
        <v>0</v>
      </c>
      <c r="BP15" s="14">
        <v>0</v>
      </c>
      <c r="BQ15" s="12">
        <f t="shared" si="37"/>
        <v>0</v>
      </c>
      <c r="BR15" s="14">
        <f t="shared" si="38"/>
        <v>0</v>
      </c>
      <c r="BS15" s="13" t="e">
        <f t="shared" si="39"/>
        <v>#DIV/0!</v>
      </c>
      <c r="BU15" s="16"/>
      <c r="BV15" s="15" t="s">
        <v>2</v>
      </c>
      <c r="BW15" s="12">
        <v>0</v>
      </c>
      <c r="BX15" s="14">
        <v>0</v>
      </c>
      <c r="BY15" s="12">
        <f t="shared" si="40"/>
        <v>0</v>
      </c>
      <c r="BZ15" s="14">
        <f t="shared" si="41"/>
        <v>0</v>
      </c>
      <c r="CA15" s="13" t="e">
        <f t="shared" si="42"/>
        <v>#DIV/0!</v>
      </c>
      <c r="CC15" s="16"/>
      <c r="CD15" s="15" t="s">
        <v>2</v>
      </c>
      <c r="CE15" s="12">
        <v>0</v>
      </c>
      <c r="CF15" s="14">
        <v>0</v>
      </c>
      <c r="CG15" s="12">
        <f t="shared" si="43"/>
        <v>0</v>
      </c>
      <c r="CH15" s="14">
        <f t="shared" si="44"/>
        <v>0</v>
      </c>
      <c r="CI15" s="13" t="e">
        <f t="shared" si="45"/>
        <v>#DIV/0!</v>
      </c>
      <c r="CK15" s="16"/>
      <c r="CL15" s="15" t="s">
        <v>2</v>
      </c>
      <c r="CM15" s="12">
        <v>1</v>
      </c>
      <c r="CN15" s="14">
        <v>31810</v>
      </c>
      <c r="CO15" s="12">
        <f t="shared" si="46"/>
        <v>1</v>
      </c>
      <c r="CP15" s="14">
        <f t="shared" si="47"/>
        <v>31810</v>
      </c>
      <c r="CQ15" s="13" t="e">
        <f t="shared" si="48"/>
        <v>#DIV/0!</v>
      </c>
      <c r="CS15" s="16"/>
      <c r="CT15" s="15" t="s">
        <v>2</v>
      </c>
      <c r="CU15" s="12">
        <v>0</v>
      </c>
      <c r="CV15" s="14">
        <v>0</v>
      </c>
      <c r="CW15" s="12">
        <f t="shared" si="49"/>
        <v>-1</v>
      </c>
      <c r="CX15" s="14">
        <f t="shared" si="50"/>
        <v>-31810</v>
      </c>
      <c r="CY15" s="13">
        <f t="shared" si="51"/>
        <v>-1</v>
      </c>
    </row>
    <row r="16" spans="1:103" s="1" customFormat="1" ht="20" customHeight="1">
      <c r="A16" s="11" t="s">
        <v>19</v>
      </c>
      <c r="B16" s="11"/>
      <c r="C16" s="10">
        <v>995</v>
      </c>
      <c r="D16" s="9">
        <v>9516831.42856998</v>
      </c>
      <c r="E16" s="29"/>
      <c r="F16" s="30"/>
      <c r="G16" s="31"/>
      <c r="I16" s="11" t="s">
        <v>19</v>
      </c>
      <c r="J16" s="11"/>
      <c r="K16" s="10">
        <v>1307</v>
      </c>
      <c r="L16" s="9">
        <v>16420146.190474499</v>
      </c>
      <c r="M16" s="10">
        <f t="shared" si="16"/>
        <v>312</v>
      </c>
      <c r="N16" s="9">
        <f t="shared" si="17"/>
        <v>6903314.7619045191</v>
      </c>
      <c r="O16" s="8">
        <f t="shared" si="18"/>
        <v>0.72537953558580859</v>
      </c>
      <c r="Q16" s="11" t="s">
        <v>19</v>
      </c>
      <c r="R16" s="11"/>
      <c r="S16" s="10">
        <v>1326</v>
      </c>
      <c r="T16" s="9">
        <v>16063936.666665049</v>
      </c>
      <c r="U16" s="10">
        <f t="shared" si="19"/>
        <v>19</v>
      </c>
      <c r="V16" s="9">
        <f t="shared" si="20"/>
        <v>-356209.52380944975</v>
      </c>
      <c r="W16" s="8">
        <f t="shared" si="21"/>
        <v>-2.169344411903535E-2</v>
      </c>
      <c r="Y16" s="11" t="s">
        <v>19</v>
      </c>
      <c r="Z16" s="11"/>
      <c r="AA16" s="10">
        <v>1444</v>
      </c>
      <c r="AB16" s="9">
        <v>15875834.285712302</v>
      </c>
      <c r="AC16" s="9">
        <f t="shared" si="22"/>
        <v>118</v>
      </c>
      <c r="AD16" s="9">
        <f t="shared" si="23"/>
        <v>-188102.38095274754</v>
      </c>
      <c r="AE16" s="8">
        <f t="shared" si="24"/>
        <v>-1.1709606733141989E-2</v>
      </c>
      <c r="AG16" s="11" t="s">
        <v>19</v>
      </c>
      <c r="AH16" s="11"/>
      <c r="AI16" s="10">
        <v>1572</v>
      </c>
      <c r="AJ16" s="9">
        <v>14877702.380950581</v>
      </c>
      <c r="AK16" s="10">
        <f t="shared" si="25"/>
        <v>128</v>
      </c>
      <c r="AL16" s="9">
        <f t="shared" si="26"/>
        <v>-998131.90476172045</v>
      </c>
      <c r="AM16" s="8">
        <f t="shared" si="27"/>
        <v>-6.287114659920609E-2</v>
      </c>
      <c r="AO16" s="11" t="s">
        <v>19</v>
      </c>
      <c r="AP16" s="11"/>
      <c r="AQ16" s="10">
        <v>1077</v>
      </c>
      <c r="AR16" s="9">
        <v>10694899.523807989</v>
      </c>
      <c r="AS16" s="10">
        <f t="shared" si="28"/>
        <v>-495</v>
      </c>
      <c r="AT16" s="9">
        <f t="shared" si="29"/>
        <v>-4182802.8571425918</v>
      </c>
      <c r="AU16" s="8">
        <f t="shared" si="30"/>
        <v>-0.28114575423274063</v>
      </c>
      <c r="AW16" s="11" t="s">
        <v>19</v>
      </c>
      <c r="AX16" s="11"/>
      <c r="AY16" s="45">
        <v>547</v>
      </c>
      <c r="AZ16" s="45">
        <v>5227064.761903761</v>
      </c>
      <c r="BA16" s="10">
        <f t="shared" si="31"/>
        <v>-530</v>
      </c>
      <c r="BB16" s="9">
        <f t="shared" si="32"/>
        <v>-5467834.7619042285</v>
      </c>
      <c r="BC16" s="8">
        <f t="shared" si="33"/>
        <v>-0.51125630023285806</v>
      </c>
      <c r="BE16" s="11" t="s">
        <v>19</v>
      </c>
      <c r="BF16" s="11"/>
      <c r="BG16" s="10">
        <v>0</v>
      </c>
      <c r="BH16" s="9">
        <v>0</v>
      </c>
      <c r="BI16" s="10">
        <f t="shared" si="34"/>
        <v>-547</v>
      </c>
      <c r="BJ16" s="9">
        <f t="shared" si="35"/>
        <v>-5227064.761903761</v>
      </c>
      <c r="BK16" s="8">
        <f t="shared" si="36"/>
        <v>-1</v>
      </c>
      <c r="BL16" s="37"/>
      <c r="BM16" s="11" t="s">
        <v>19</v>
      </c>
      <c r="BN16" s="11"/>
      <c r="BO16" s="10">
        <v>0</v>
      </c>
      <c r="BP16" s="9">
        <v>0</v>
      </c>
      <c r="BQ16" s="10">
        <f t="shared" si="37"/>
        <v>0</v>
      </c>
      <c r="BR16" s="9">
        <f t="shared" si="38"/>
        <v>0</v>
      </c>
      <c r="BS16" s="8" t="e">
        <f t="shared" si="39"/>
        <v>#DIV/0!</v>
      </c>
      <c r="BU16" s="11" t="s">
        <v>19</v>
      </c>
      <c r="BV16" s="11"/>
      <c r="BW16" s="10">
        <v>0</v>
      </c>
      <c r="BX16" s="9">
        <v>0</v>
      </c>
      <c r="BY16" s="10">
        <f t="shared" si="40"/>
        <v>0</v>
      </c>
      <c r="BZ16" s="9">
        <f t="shared" si="41"/>
        <v>0</v>
      </c>
      <c r="CA16" s="8" t="e">
        <f t="shared" si="42"/>
        <v>#DIV/0!</v>
      </c>
      <c r="CC16" s="11" t="s">
        <v>19</v>
      </c>
      <c r="CD16" s="11"/>
      <c r="CE16" s="10">
        <v>0</v>
      </c>
      <c r="CF16" s="9">
        <v>0</v>
      </c>
      <c r="CG16" s="10">
        <f t="shared" si="43"/>
        <v>0</v>
      </c>
      <c r="CH16" s="9">
        <f t="shared" si="44"/>
        <v>0</v>
      </c>
      <c r="CI16" s="8" t="e">
        <f t="shared" si="45"/>
        <v>#DIV/0!</v>
      </c>
      <c r="CK16" s="11" t="s">
        <v>19</v>
      </c>
      <c r="CL16" s="11"/>
      <c r="CM16" s="10">
        <f>0+SUM(CM7:CM15)</f>
        <v>7</v>
      </c>
      <c r="CN16" s="10">
        <f>0+SUM(CN7:CN15)</f>
        <v>206547</v>
      </c>
      <c r="CO16" s="10">
        <f t="shared" si="46"/>
        <v>7</v>
      </c>
      <c r="CP16" s="9">
        <f t="shared" si="47"/>
        <v>206547</v>
      </c>
      <c r="CQ16" s="8" t="e">
        <f t="shared" si="48"/>
        <v>#DIV/0!</v>
      </c>
      <c r="CS16" s="11" t="s">
        <v>19</v>
      </c>
      <c r="CT16" s="11"/>
      <c r="CU16" s="10">
        <f>0+SUM(CU7:CU15)</f>
        <v>8</v>
      </c>
      <c r="CV16" s="10">
        <f>0+SUM(CV7:CV15)</f>
        <v>88145</v>
      </c>
      <c r="CW16" s="10">
        <f t="shared" si="49"/>
        <v>1</v>
      </c>
      <c r="CX16" s="9">
        <f t="shared" si="50"/>
        <v>-118402</v>
      </c>
      <c r="CY16" s="8">
        <f t="shared" si="51"/>
        <v>-0.57324483047441988</v>
      </c>
    </row>
    <row r="17" spans="1:103" s="50" customFormat="1" ht="22" customHeight="1">
      <c r="A17" s="16">
        <v>76</v>
      </c>
      <c r="B17" s="34" t="s">
        <v>45</v>
      </c>
      <c r="C17" s="47">
        <v>5572</v>
      </c>
      <c r="D17" s="1"/>
      <c r="E17" s="48"/>
      <c r="F17" s="48"/>
      <c r="G17" s="48"/>
      <c r="H17" s="1"/>
      <c r="I17" s="16">
        <v>76</v>
      </c>
      <c r="J17" s="34" t="s">
        <v>45</v>
      </c>
      <c r="K17" s="47">
        <v>4352</v>
      </c>
      <c r="L17" s="1"/>
      <c r="M17" s="12"/>
      <c r="N17" s="14"/>
      <c r="O17" s="13"/>
      <c r="P17" s="1"/>
      <c r="Q17" s="16">
        <v>76</v>
      </c>
      <c r="R17" s="34" t="s">
        <v>45</v>
      </c>
      <c r="S17" s="47">
        <v>4624</v>
      </c>
      <c r="T17" s="1"/>
      <c r="U17" s="12"/>
      <c r="V17" s="14"/>
      <c r="W17" s="13"/>
      <c r="X17" s="1"/>
      <c r="Y17" s="16">
        <v>76</v>
      </c>
      <c r="Z17" s="34" t="s">
        <v>45</v>
      </c>
      <c r="AA17" s="47">
        <v>5595</v>
      </c>
      <c r="AB17" s="1"/>
      <c r="AC17" s="12"/>
      <c r="AD17" s="14"/>
      <c r="AE17" s="13"/>
      <c r="AF17" s="1"/>
      <c r="AG17" s="16">
        <v>76</v>
      </c>
      <c r="AH17" s="34" t="s">
        <v>45</v>
      </c>
      <c r="AI17" s="47">
        <v>8740</v>
      </c>
      <c r="AJ17" s="1"/>
      <c r="AK17" s="12"/>
      <c r="AL17" s="14"/>
      <c r="AM17" s="13"/>
      <c r="AN17" s="1"/>
      <c r="AO17" s="16">
        <v>76</v>
      </c>
      <c r="AP17" s="34" t="s">
        <v>45</v>
      </c>
      <c r="AQ17" s="47">
        <v>5678</v>
      </c>
      <c r="AR17" s="1"/>
      <c r="AS17" s="12"/>
      <c r="AT17" s="14"/>
      <c r="AU17" s="13"/>
      <c r="AV17" s="1"/>
      <c r="AW17" s="16">
        <v>76</v>
      </c>
      <c r="AX17" s="34" t="s">
        <v>45</v>
      </c>
      <c r="AY17" s="47">
        <v>5357</v>
      </c>
      <c r="AZ17" s="1"/>
      <c r="BA17" s="12"/>
      <c r="BB17" s="14"/>
      <c r="BC17" s="13"/>
      <c r="BD17" s="49"/>
      <c r="BE17" s="16">
        <v>76</v>
      </c>
      <c r="BF17" s="34" t="s">
        <v>45</v>
      </c>
      <c r="BG17" s="17">
        <v>5267</v>
      </c>
      <c r="BH17" s="39"/>
      <c r="BI17" s="12"/>
      <c r="BJ17" s="14"/>
      <c r="BK17" s="13"/>
      <c r="BL17" s="49"/>
      <c r="BM17" s="16">
        <v>76</v>
      </c>
      <c r="BN17" s="34" t="s">
        <v>45</v>
      </c>
      <c r="BO17" s="17">
        <v>6196</v>
      </c>
      <c r="BP17" s="39"/>
      <c r="BQ17" s="12"/>
      <c r="BR17" s="14"/>
      <c r="BS17" s="13"/>
      <c r="BU17" s="16">
        <v>76</v>
      </c>
      <c r="BV17" s="34" t="s">
        <v>45</v>
      </c>
      <c r="BW17" s="50">
        <v>5133</v>
      </c>
      <c r="CC17" s="16">
        <v>76</v>
      </c>
      <c r="CD17" s="34" t="s">
        <v>45</v>
      </c>
      <c r="CE17" s="50">
        <v>5925</v>
      </c>
      <c r="CK17" s="16">
        <v>76</v>
      </c>
      <c r="CL17" s="34" t="s">
        <v>45</v>
      </c>
      <c r="CM17" s="50">
        <v>6112</v>
      </c>
      <c r="CS17" s="16">
        <v>76</v>
      </c>
      <c r="CT17" s="34" t="s">
        <v>45</v>
      </c>
      <c r="CU17" s="50">
        <v>5119</v>
      </c>
    </row>
    <row r="18" spans="1:103" s="17" customFormat="1" ht="22" customHeight="1">
      <c r="A18" s="16"/>
      <c r="B18" s="34" t="s">
        <v>46</v>
      </c>
      <c r="C18" s="17">
        <v>5</v>
      </c>
      <c r="D18" s="39"/>
      <c r="E18" s="40"/>
      <c r="F18" s="40"/>
      <c r="G18" s="40"/>
      <c r="I18" s="16"/>
      <c r="J18" s="34" t="s">
        <v>46</v>
      </c>
      <c r="K18" s="17">
        <v>10</v>
      </c>
      <c r="L18" s="39"/>
      <c r="M18" s="12"/>
      <c r="N18" s="14"/>
      <c r="O18" s="13"/>
      <c r="Q18" s="16"/>
      <c r="R18" s="34" t="s">
        <v>46</v>
      </c>
      <c r="S18" s="17">
        <v>20</v>
      </c>
      <c r="T18" s="39"/>
      <c r="U18" s="12"/>
      <c r="V18" s="14"/>
      <c r="W18" s="13"/>
      <c r="Y18" s="16"/>
      <c r="Z18" s="34" t="s">
        <v>46</v>
      </c>
      <c r="AA18" s="17">
        <v>14</v>
      </c>
      <c r="AB18" s="39"/>
      <c r="AC18" s="12"/>
      <c r="AD18" s="14"/>
      <c r="AE18" s="13"/>
      <c r="AG18" s="16"/>
      <c r="AH18" s="34" t="s">
        <v>46</v>
      </c>
      <c r="AI18" s="17">
        <v>15</v>
      </c>
      <c r="AJ18" s="39"/>
      <c r="AK18" s="12"/>
      <c r="AL18" s="14"/>
      <c r="AM18" s="13"/>
      <c r="AO18" s="16"/>
      <c r="AP18" s="34" t="s">
        <v>46</v>
      </c>
      <c r="AQ18" s="17">
        <v>13</v>
      </c>
      <c r="AR18" s="39"/>
      <c r="AS18" s="12"/>
      <c r="AT18" s="14"/>
      <c r="AU18" s="13"/>
      <c r="AW18" s="16"/>
      <c r="AX18" s="34" t="s">
        <v>46</v>
      </c>
      <c r="AY18" s="17">
        <v>12</v>
      </c>
      <c r="AZ18" s="39"/>
      <c r="BA18" s="12">
        <f t="shared" si="31"/>
        <v>-1</v>
      </c>
      <c r="BB18" s="14">
        <f t="shared" si="32"/>
        <v>0</v>
      </c>
      <c r="BC18" s="13" t="e">
        <f t="shared" si="33"/>
        <v>#DIV/0!</v>
      </c>
      <c r="BE18" s="16"/>
      <c r="BF18" s="34" t="s">
        <v>46</v>
      </c>
      <c r="BG18" s="17">
        <v>13</v>
      </c>
      <c r="BH18" s="39"/>
      <c r="BI18" s="12">
        <f t="shared" si="34"/>
        <v>1</v>
      </c>
      <c r="BJ18" s="14">
        <f t="shared" si="35"/>
        <v>0</v>
      </c>
      <c r="BK18" s="13" t="e">
        <f t="shared" si="36"/>
        <v>#DIV/0!</v>
      </c>
      <c r="BM18" s="16"/>
      <c r="BN18" s="34" t="s">
        <v>46</v>
      </c>
      <c r="BO18" s="17">
        <v>11</v>
      </c>
      <c r="BP18" s="39"/>
      <c r="BQ18" s="12">
        <f t="shared" si="37"/>
        <v>-2</v>
      </c>
      <c r="BR18" s="14">
        <f t="shared" si="38"/>
        <v>0</v>
      </c>
      <c r="BS18" s="13" t="e">
        <f t="shared" si="39"/>
        <v>#DIV/0!</v>
      </c>
      <c r="BU18" s="16"/>
      <c r="BV18" s="34" t="s">
        <v>46</v>
      </c>
      <c r="BW18" s="17">
        <v>5</v>
      </c>
      <c r="CC18" s="16"/>
      <c r="CD18" s="34" t="s">
        <v>46</v>
      </c>
      <c r="CE18" s="17">
        <v>9</v>
      </c>
      <c r="CK18" s="16"/>
      <c r="CL18" s="34" t="s">
        <v>46</v>
      </c>
      <c r="CM18" s="17">
        <v>15</v>
      </c>
      <c r="CS18" s="16"/>
      <c r="CT18" s="34" t="s">
        <v>46</v>
      </c>
      <c r="CU18" s="17">
        <v>9</v>
      </c>
    </row>
    <row r="19" spans="1:103" s="12" customFormat="1" ht="20" customHeight="1">
      <c r="A19" s="16"/>
      <c r="B19" s="15" t="s">
        <v>10</v>
      </c>
      <c r="C19" s="12">
        <v>126</v>
      </c>
      <c r="D19" s="14">
        <v>138285.71428521999</v>
      </c>
      <c r="F19" s="14"/>
      <c r="G19" s="13"/>
      <c r="I19" s="16"/>
      <c r="J19" s="15" t="s">
        <v>10</v>
      </c>
      <c r="K19" s="12">
        <v>128</v>
      </c>
      <c r="L19" s="14">
        <v>140292.38095186005</v>
      </c>
      <c r="M19" s="12">
        <f t="shared" ref="M19:M28" si="52">K19-C19</f>
        <v>2</v>
      </c>
      <c r="N19" s="14">
        <f t="shared" ref="N19:N28" si="53">L19-D19</f>
        <v>2006.6666666400561</v>
      </c>
      <c r="O19" s="13">
        <f t="shared" ref="O19:O28" si="54">(L19-D19)/D19</f>
        <v>1.4511019283605993E-2</v>
      </c>
      <c r="Q19" s="16"/>
      <c r="R19" s="15" t="s">
        <v>10</v>
      </c>
      <c r="S19" s="12">
        <v>144</v>
      </c>
      <c r="T19" s="14">
        <v>155417.14285663998</v>
      </c>
      <c r="U19" s="12">
        <f t="shared" ref="U19:U28" si="55">S19-K19</f>
        <v>16</v>
      </c>
      <c r="V19" s="14">
        <f t="shared" ref="V19:V28" si="56">T19-L19</f>
        <v>15124.761904779938</v>
      </c>
      <c r="W19" s="13">
        <f t="shared" ref="W19:W28" si="57">(T19-L19)/L19</f>
        <v>0.10780886176541442</v>
      </c>
      <c r="Y19" s="16"/>
      <c r="Z19" s="15" t="s">
        <v>10</v>
      </c>
      <c r="AA19" s="12">
        <v>179</v>
      </c>
      <c r="AB19" s="14">
        <v>197337.14285646018</v>
      </c>
      <c r="AC19" s="14">
        <f t="shared" ref="AC19:AC28" si="58">AA19-S19</f>
        <v>35</v>
      </c>
      <c r="AD19" s="14">
        <f t="shared" ref="AD19:AD28" si="59">AB19-T19</f>
        <v>41919.999999820197</v>
      </c>
      <c r="AE19" s="13">
        <f t="shared" ref="AE19:AE28" si="60">(AB19-T19)/T19</f>
        <v>0.26972571512582805</v>
      </c>
      <c r="AG19" s="16"/>
      <c r="AH19" s="15" t="s">
        <v>10</v>
      </c>
      <c r="AI19" s="12">
        <v>240</v>
      </c>
      <c r="AJ19" s="14">
        <v>260752.38095157009</v>
      </c>
      <c r="AK19" s="12">
        <f t="shared" ref="AK19:AK28" si="61">AI19-AA19</f>
        <v>61</v>
      </c>
      <c r="AL19" s="14">
        <f t="shared" ref="AL19:AL28" si="62">AJ19-AB19</f>
        <v>63415.238095109904</v>
      </c>
      <c r="AM19" s="13">
        <f t="shared" ref="AM19:AM28" si="63">(AJ19-AB19)/AB19</f>
        <v>0.32135480010084627</v>
      </c>
      <c r="AO19" s="16"/>
      <c r="AP19" s="15" t="s">
        <v>10</v>
      </c>
      <c r="AQ19" s="12">
        <v>156</v>
      </c>
      <c r="AR19" s="14">
        <v>165946.66666605012</v>
      </c>
      <c r="AS19" s="12">
        <f t="shared" ref="AS19:AT23" si="64">AQ19-AI19</f>
        <v>-84</v>
      </c>
      <c r="AT19" s="14">
        <f t="shared" si="64"/>
        <v>-94805.714285519964</v>
      </c>
      <c r="AU19" s="13">
        <f t="shared" ref="AU19:AU28" si="65">(AR19-AJ19)/AJ19</f>
        <v>-0.36358522955588413</v>
      </c>
      <c r="AW19" s="16"/>
      <c r="AX19" s="15" t="s">
        <v>10</v>
      </c>
      <c r="AY19" s="44">
        <v>176</v>
      </c>
      <c r="AZ19" s="44">
        <v>192128.57142793003</v>
      </c>
      <c r="BA19" s="12">
        <f t="shared" ref="BA19:BA28" si="66">AY19-AQ19</f>
        <v>20</v>
      </c>
      <c r="BB19" s="14">
        <f t="shared" ref="BB19:BB28" si="67">AZ19-AR19</f>
        <v>26181.904761879909</v>
      </c>
      <c r="BC19" s="13">
        <f t="shared" ref="BC19:BC28" si="68">(AZ19-AR19)/AR19</f>
        <v>0.15777300796627741</v>
      </c>
      <c r="BE19" s="16"/>
      <c r="BF19" s="15" t="s">
        <v>10</v>
      </c>
      <c r="BG19" s="12">
        <v>137</v>
      </c>
      <c r="BH19" s="14">
        <v>150966.66666607998</v>
      </c>
      <c r="BI19" s="12">
        <f t="shared" ref="BI19:BI28" si="69">BG19-AY19</f>
        <v>-39</v>
      </c>
      <c r="BJ19" s="14">
        <f t="shared" ref="BJ19:BJ28" si="70">BH19-AZ19</f>
        <v>-41161.904761850048</v>
      </c>
      <c r="BK19" s="13">
        <f t="shared" ref="BK19:BK28" si="71">(BH19-AZ19)/AZ19</f>
        <v>-0.21424145537505557</v>
      </c>
      <c r="BL19" s="35"/>
      <c r="BM19" s="16"/>
      <c r="BN19" s="15" t="s">
        <v>10</v>
      </c>
      <c r="BO19" s="12">
        <v>156</v>
      </c>
      <c r="BP19" s="14">
        <v>162990.47618990997</v>
      </c>
      <c r="BQ19" s="12">
        <f t="shared" ref="BQ19:BQ28" si="72">BO19-BG19</f>
        <v>19</v>
      </c>
      <c r="BR19" s="14">
        <f t="shared" ref="BR19:BR28" si="73">BP19-BH19</f>
        <v>12023.809523829987</v>
      </c>
      <c r="BS19" s="13">
        <f t="shared" ref="BS19:BS28" si="74">(BP19-BH19)/BH19</f>
        <v>7.9645459420689207E-2</v>
      </c>
      <c r="BU19" s="16"/>
      <c r="BV19" s="15" t="s">
        <v>10</v>
      </c>
      <c r="BW19" s="12">
        <v>114</v>
      </c>
      <c r="BX19" s="14">
        <v>107077.14285668998</v>
      </c>
      <c r="BY19" s="12">
        <f t="shared" ref="BY19:BY28" si="75">BW19-BO19</f>
        <v>-42</v>
      </c>
      <c r="BZ19" s="14">
        <f t="shared" ref="BZ19:BZ28" si="76">BX19-BP19</f>
        <v>-55913.333333219984</v>
      </c>
      <c r="CA19" s="13">
        <f t="shared" ref="CA19:CA28" si="77">(BX19-BP19)/BP19</f>
        <v>-0.34304662849178996</v>
      </c>
      <c r="CC19" s="16"/>
      <c r="CD19" s="15" t="s">
        <v>10</v>
      </c>
      <c r="CE19" s="12">
        <v>189</v>
      </c>
      <c r="CF19" s="14">
        <v>228933.33333261995</v>
      </c>
      <c r="CG19" s="12">
        <f t="shared" ref="CG19:CG28" si="78">CE19-BW19</f>
        <v>75</v>
      </c>
      <c r="CH19" s="14">
        <f t="shared" ref="CH19:CH28" si="79">CF19-BX19</f>
        <v>121856.19047592997</v>
      </c>
      <c r="CI19" s="13">
        <f t="shared" ref="CI19:CI28" si="80">(CF19-BX19)/BX19</f>
        <v>1.1380224315381666</v>
      </c>
      <c r="CK19" s="16"/>
      <c r="CL19" s="15" t="s">
        <v>10</v>
      </c>
      <c r="CM19" s="12">
        <v>188</v>
      </c>
      <c r="CN19" s="14">
        <v>207353.33333259006</v>
      </c>
      <c r="CO19" s="12">
        <f t="shared" ref="CO19:CO28" si="81">CM19-CE19</f>
        <v>-1</v>
      </c>
      <c r="CP19" s="14">
        <f t="shared" ref="CP19:CP28" si="82">CN19-CF19</f>
        <v>-21580.00000002989</v>
      </c>
      <c r="CQ19" s="13">
        <f t="shared" ref="CQ19:CQ28" si="83">(CN19-CF19)/CF19</f>
        <v>-9.4263249854821499E-2</v>
      </c>
      <c r="CS19" s="16"/>
      <c r="CT19" s="15" t="s">
        <v>10</v>
      </c>
      <c r="CU19" s="12">
        <v>150</v>
      </c>
      <c r="CV19" s="14">
        <v>178117.14285652013</v>
      </c>
      <c r="CW19" s="12">
        <f t="shared" ref="CW19:CW28" si="84">CU19-CM19</f>
        <v>-38</v>
      </c>
      <c r="CX19" s="14">
        <f t="shared" ref="CX19:CX28" si="85">CV19-CN19</f>
        <v>-29236.190476069925</v>
      </c>
      <c r="CY19" s="13">
        <f t="shared" ref="CY19:CY28" si="86">(CV19-CN19)/CN19</f>
        <v>-0.14099696400431497</v>
      </c>
    </row>
    <row r="20" spans="1:103" s="12" customFormat="1" ht="20" customHeight="1">
      <c r="A20" s="16"/>
      <c r="B20" s="15" t="s">
        <v>9</v>
      </c>
      <c r="C20" s="12">
        <v>255</v>
      </c>
      <c r="D20" s="14">
        <v>274101.90476172988</v>
      </c>
      <c r="F20" s="14"/>
      <c r="G20" s="13"/>
      <c r="I20" s="16"/>
      <c r="J20" s="15" t="s">
        <v>9</v>
      </c>
      <c r="K20" s="12">
        <v>205</v>
      </c>
      <c r="L20" s="14">
        <v>218820.95238080001</v>
      </c>
      <c r="M20" s="12">
        <f t="shared" si="52"/>
        <v>-50</v>
      </c>
      <c r="N20" s="14">
        <f t="shared" si="53"/>
        <v>-55280.95238092987</v>
      </c>
      <c r="O20" s="13">
        <f t="shared" si="54"/>
        <v>-0.20168029269619361</v>
      </c>
      <c r="Q20" s="16"/>
      <c r="R20" s="15" t="s">
        <v>9</v>
      </c>
      <c r="S20" s="12">
        <v>216</v>
      </c>
      <c r="T20" s="14">
        <v>217667.61904746003</v>
      </c>
      <c r="U20" s="12">
        <f t="shared" si="55"/>
        <v>11</v>
      </c>
      <c r="V20" s="14">
        <f t="shared" si="56"/>
        <v>-1153.3333333399787</v>
      </c>
      <c r="W20" s="13">
        <f t="shared" si="57"/>
        <v>-5.2706713904293176E-3</v>
      </c>
      <c r="Y20" s="16"/>
      <c r="Z20" s="15" t="s">
        <v>9</v>
      </c>
      <c r="AA20" s="12">
        <v>253</v>
      </c>
      <c r="AB20" s="14">
        <v>264870.47619030997</v>
      </c>
      <c r="AC20" s="14">
        <f t="shared" si="58"/>
        <v>37</v>
      </c>
      <c r="AD20" s="14">
        <f t="shared" si="59"/>
        <v>47202.857142849942</v>
      </c>
      <c r="AE20" s="13">
        <f t="shared" si="60"/>
        <v>0.21685750663978126</v>
      </c>
      <c r="AG20" s="16"/>
      <c r="AH20" s="15" t="s">
        <v>9</v>
      </c>
      <c r="AI20" s="12">
        <v>290</v>
      </c>
      <c r="AJ20" s="14">
        <v>354733.33333315997</v>
      </c>
      <c r="AK20" s="12">
        <f t="shared" si="61"/>
        <v>37</v>
      </c>
      <c r="AL20" s="14">
        <f t="shared" si="62"/>
        <v>89862.85714285</v>
      </c>
      <c r="AM20" s="13">
        <f t="shared" si="63"/>
        <v>0.33927094644660721</v>
      </c>
      <c r="AO20" s="16"/>
      <c r="AP20" s="15" t="s">
        <v>9</v>
      </c>
      <c r="AQ20" s="12">
        <v>278</v>
      </c>
      <c r="AR20" s="14">
        <v>355590.47619025985</v>
      </c>
      <c r="AS20" s="12">
        <f t="shared" si="64"/>
        <v>-12</v>
      </c>
      <c r="AT20" s="14">
        <f t="shared" si="64"/>
        <v>857.14285709988326</v>
      </c>
      <c r="AU20" s="13">
        <f t="shared" si="65"/>
        <v>2.4163019839324434E-3</v>
      </c>
      <c r="AW20" s="16"/>
      <c r="AX20" s="15" t="s">
        <v>9</v>
      </c>
      <c r="AY20" s="44">
        <v>240</v>
      </c>
      <c r="AZ20" s="44">
        <v>333418.09523795004</v>
      </c>
      <c r="BA20" s="12">
        <f t="shared" si="66"/>
        <v>-38</v>
      </c>
      <c r="BB20" s="14">
        <f t="shared" si="67"/>
        <v>-22172.380952309817</v>
      </c>
      <c r="BC20" s="13">
        <f t="shared" si="68"/>
        <v>-6.2353697404557068E-2</v>
      </c>
      <c r="BE20" s="16"/>
      <c r="BF20" s="15" t="s">
        <v>9</v>
      </c>
      <c r="BG20" s="12">
        <v>259</v>
      </c>
      <c r="BH20" s="14">
        <v>321666.66666648997</v>
      </c>
      <c r="BI20" s="12">
        <f t="shared" si="69"/>
        <v>19</v>
      </c>
      <c r="BJ20" s="14">
        <f t="shared" si="70"/>
        <v>-11751.42857146007</v>
      </c>
      <c r="BK20" s="13">
        <f t="shared" si="71"/>
        <v>-3.5245323332176809E-2</v>
      </c>
      <c r="BL20" s="35"/>
      <c r="BM20" s="16"/>
      <c r="BN20" s="15" t="s">
        <v>9</v>
      </c>
      <c r="BO20" s="12">
        <v>285</v>
      </c>
      <c r="BP20" s="14">
        <v>345248.57142841001</v>
      </c>
      <c r="BQ20" s="12">
        <f t="shared" si="72"/>
        <v>26</v>
      </c>
      <c r="BR20" s="14">
        <f t="shared" si="73"/>
        <v>23581.904761920043</v>
      </c>
      <c r="BS20" s="13">
        <f t="shared" si="74"/>
        <v>7.3311621021553364E-2</v>
      </c>
      <c r="BU20" s="16"/>
      <c r="BV20" s="15" t="s">
        <v>9</v>
      </c>
      <c r="BW20" s="12">
        <v>234</v>
      </c>
      <c r="BX20" s="14">
        <v>254070.47619032997</v>
      </c>
      <c r="BY20" s="12">
        <f t="shared" si="75"/>
        <v>-51</v>
      </c>
      <c r="BZ20" s="14">
        <f t="shared" si="76"/>
        <v>-91178.095238080045</v>
      </c>
      <c r="CA20" s="13">
        <f t="shared" si="77"/>
        <v>-0.26409405507702888</v>
      </c>
      <c r="CC20" s="16"/>
      <c r="CD20" s="15" t="s">
        <v>9</v>
      </c>
      <c r="CE20" s="12">
        <v>256</v>
      </c>
      <c r="CF20" s="14">
        <v>343766.66666650999</v>
      </c>
      <c r="CG20" s="12">
        <f t="shared" si="78"/>
        <v>22</v>
      </c>
      <c r="CH20" s="14">
        <f t="shared" si="79"/>
        <v>89696.190476180025</v>
      </c>
      <c r="CI20" s="13">
        <f t="shared" si="80"/>
        <v>0.35303665274743129</v>
      </c>
      <c r="CK20" s="16"/>
      <c r="CL20" s="15" t="s">
        <v>9</v>
      </c>
      <c r="CM20" s="12">
        <v>261</v>
      </c>
      <c r="CN20" s="14">
        <v>290509.52380938001</v>
      </c>
      <c r="CO20" s="12">
        <f t="shared" si="81"/>
        <v>5</v>
      </c>
      <c r="CP20" s="14">
        <f t="shared" si="82"/>
        <v>-53257.142857129977</v>
      </c>
      <c r="CQ20" s="13">
        <f t="shared" si="83"/>
        <v>-0.15492235874281271</v>
      </c>
      <c r="CS20" s="16"/>
      <c r="CT20" s="15" t="s">
        <v>9</v>
      </c>
      <c r="CU20" s="12">
        <v>215</v>
      </c>
      <c r="CV20" s="14">
        <v>268290.47619029001</v>
      </c>
      <c r="CW20" s="12">
        <f t="shared" si="84"/>
        <v>-46</v>
      </c>
      <c r="CX20" s="14">
        <f t="shared" si="85"/>
        <v>-22219.047619090008</v>
      </c>
      <c r="CY20" s="13">
        <f t="shared" si="86"/>
        <v>-7.6483026538122043E-2</v>
      </c>
    </row>
    <row r="21" spans="1:103" s="12" customFormat="1" ht="20" customHeight="1">
      <c r="A21" s="16"/>
      <c r="B21" s="15" t="s">
        <v>8</v>
      </c>
      <c r="C21" s="12">
        <v>79</v>
      </c>
      <c r="D21" s="14">
        <v>473533.33333330997</v>
      </c>
      <c r="F21" s="14"/>
      <c r="G21" s="13"/>
      <c r="I21" s="16"/>
      <c r="J21" s="15" t="s">
        <v>8</v>
      </c>
      <c r="K21" s="12">
        <v>81</v>
      </c>
      <c r="L21" s="14">
        <v>499228.57142853993</v>
      </c>
      <c r="M21" s="12">
        <f t="shared" si="52"/>
        <v>2</v>
      </c>
      <c r="N21" s="14">
        <f t="shared" si="53"/>
        <v>25695.238095229957</v>
      </c>
      <c r="O21" s="13">
        <f t="shared" si="54"/>
        <v>5.4262786347806333E-2</v>
      </c>
      <c r="Q21" s="16"/>
      <c r="R21" s="15" t="s">
        <v>8</v>
      </c>
      <c r="S21" s="12">
        <v>84</v>
      </c>
      <c r="T21" s="14">
        <v>502057.14285712992</v>
      </c>
      <c r="U21" s="12">
        <f t="shared" si="55"/>
        <v>3</v>
      </c>
      <c r="V21" s="14">
        <f t="shared" si="56"/>
        <v>2828.5714285899885</v>
      </c>
      <c r="W21" s="13">
        <f t="shared" si="57"/>
        <v>5.6658845075634318E-3</v>
      </c>
      <c r="Y21" s="16"/>
      <c r="Z21" s="15" t="s">
        <v>8</v>
      </c>
      <c r="AA21" s="12">
        <v>102</v>
      </c>
      <c r="AB21" s="14">
        <v>610243.80952379003</v>
      </c>
      <c r="AC21" s="14">
        <f t="shared" si="58"/>
        <v>18</v>
      </c>
      <c r="AD21" s="14">
        <f t="shared" si="59"/>
        <v>108186.66666666011</v>
      </c>
      <c r="AE21" s="13">
        <f t="shared" si="60"/>
        <v>0.21548675923817445</v>
      </c>
      <c r="AG21" s="16"/>
      <c r="AH21" s="15" t="s">
        <v>8</v>
      </c>
      <c r="AI21" s="12">
        <v>111</v>
      </c>
      <c r="AJ21" s="14">
        <v>727514.28571427008</v>
      </c>
      <c r="AK21" s="12">
        <f t="shared" si="61"/>
        <v>9</v>
      </c>
      <c r="AL21" s="14">
        <f t="shared" si="62"/>
        <v>117270.47619048005</v>
      </c>
      <c r="AM21" s="13">
        <f t="shared" si="63"/>
        <v>0.19216987433595314</v>
      </c>
      <c r="AO21" s="16"/>
      <c r="AP21" s="15" t="s">
        <v>8</v>
      </c>
      <c r="AQ21" s="12">
        <v>102</v>
      </c>
      <c r="AR21" s="14">
        <v>621885.71428568999</v>
      </c>
      <c r="AS21" s="12">
        <f t="shared" si="64"/>
        <v>-9</v>
      </c>
      <c r="AT21" s="14">
        <f t="shared" si="64"/>
        <v>-105628.57142858009</v>
      </c>
      <c r="AU21" s="13">
        <f t="shared" si="65"/>
        <v>-0.14519106154028916</v>
      </c>
      <c r="AW21" s="16"/>
      <c r="AX21" s="15" t="s">
        <v>8</v>
      </c>
      <c r="AY21" s="44">
        <v>117</v>
      </c>
      <c r="AZ21" s="44">
        <v>708885.71428568999</v>
      </c>
      <c r="BA21" s="12">
        <f t="shared" si="66"/>
        <v>15</v>
      </c>
      <c r="BB21" s="14">
        <f t="shared" si="67"/>
        <v>87000</v>
      </c>
      <c r="BC21" s="13">
        <f t="shared" si="68"/>
        <v>0.13989708720022601</v>
      </c>
      <c r="BE21" s="16"/>
      <c r="BF21" s="15" t="s">
        <v>8</v>
      </c>
      <c r="BG21" s="12">
        <v>75</v>
      </c>
      <c r="BH21" s="14">
        <v>474999.99999996996</v>
      </c>
      <c r="BI21" s="12">
        <f t="shared" si="69"/>
        <v>-42</v>
      </c>
      <c r="BJ21" s="14">
        <f t="shared" si="70"/>
        <v>-233885.71428572002</v>
      </c>
      <c r="BK21" s="13">
        <f t="shared" si="71"/>
        <v>-0.32993430333321838</v>
      </c>
      <c r="BL21" s="35"/>
      <c r="BM21" s="16"/>
      <c r="BN21" s="15" t="s">
        <v>8</v>
      </c>
      <c r="BO21" s="12">
        <v>74</v>
      </c>
      <c r="BP21" s="14">
        <v>440439.04761901998</v>
      </c>
      <c r="BQ21" s="12">
        <f t="shared" si="72"/>
        <v>-1</v>
      </c>
      <c r="BR21" s="14">
        <f t="shared" si="73"/>
        <v>-34560.952380949981</v>
      </c>
      <c r="BS21" s="13">
        <f t="shared" si="74"/>
        <v>-7.2759899749372983E-2</v>
      </c>
      <c r="BU21" s="16"/>
      <c r="BV21" s="15" t="s">
        <v>8</v>
      </c>
      <c r="BW21" s="12">
        <v>55</v>
      </c>
      <c r="BX21" s="14">
        <v>337190.47619045002</v>
      </c>
      <c r="BY21" s="12">
        <f t="shared" si="75"/>
        <v>-19</v>
      </c>
      <c r="BZ21" s="14">
        <f t="shared" si="76"/>
        <v>-103248.57142856997</v>
      </c>
      <c r="CA21" s="13">
        <f t="shared" si="77"/>
        <v>-0.23442192963299666</v>
      </c>
      <c r="CC21" s="16"/>
      <c r="CD21" s="15" t="s">
        <v>8</v>
      </c>
      <c r="CE21" s="12">
        <v>87</v>
      </c>
      <c r="CF21" s="14">
        <v>532885.7142857</v>
      </c>
      <c r="CG21" s="12">
        <f t="shared" si="78"/>
        <v>32</v>
      </c>
      <c r="CH21" s="14">
        <f t="shared" si="79"/>
        <v>195695.23809524998</v>
      </c>
      <c r="CI21" s="13">
        <f t="shared" si="80"/>
        <v>0.58037000423676999</v>
      </c>
      <c r="CK21" s="16"/>
      <c r="CL21" s="15" t="s">
        <v>8</v>
      </c>
      <c r="CM21" s="12">
        <v>89</v>
      </c>
      <c r="CN21" s="14">
        <v>600154.28571426007</v>
      </c>
      <c r="CO21" s="12">
        <f t="shared" si="81"/>
        <v>2</v>
      </c>
      <c r="CP21" s="14">
        <f t="shared" si="82"/>
        <v>67268.57142856007</v>
      </c>
      <c r="CQ21" s="13">
        <f t="shared" si="83"/>
        <v>0.12623451825637583</v>
      </c>
      <c r="CS21" s="16"/>
      <c r="CT21" s="15" t="s">
        <v>8</v>
      </c>
      <c r="CU21" s="12">
        <v>56</v>
      </c>
      <c r="CV21" s="14">
        <v>382039.04761901998</v>
      </c>
      <c r="CW21" s="12">
        <f t="shared" si="84"/>
        <v>-33</v>
      </c>
      <c r="CX21" s="14">
        <f t="shared" si="85"/>
        <v>-218115.23809524009</v>
      </c>
      <c r="CY21" s="13">
        <f t="shared" si="86"/>
        <v>-0.36343194289724212</v>
      </c>
    </row>
    <row r="22" spans="1:103" s="12" customFormat="1" ht="20" customHeight="1">
      <c r="A22" s="16"/>
      <c r="B22" s="15" t="s">
        <v>7</v>
      </c>
      <c r="C22" s="12">
        <v>38</v>
      </c>
      <c r="D22" s="14">
        <v>458013.33333326003</v>
      </c>
      <c r="F22" s="14"/>
      <c r="G22" s="13"/>
      <c r="I22" s="16"/>
      <c r="J22" s="15" t="s">
        <v>7</v>
      </c>
      <c r="K22" s="12">
        <v>57</v>
      </c>
      <c r="L22" s="14">
        <v>729992.38095226022</v>
      </c>
      <c r="M22" s="12">
        <f t="shared" si="52"/>
        <v>19</v>
      </c>
      <c r="N22" s="14">
        <f t="shared" si="53"/>
        <v>271979.04761900019</v>
      </c>
      <c r="O22" s="13">
        <f t="shared" si="54"/>
        <v>0.59382342788938547</v>
      </c>
      <c r="Q22" s="16"/>
      <c r="R22" s="15" t="s">
        <v>7</v>
      </c>
      <c r="S22" s="12">
        <v>40</v>
      </c>
      <c r="T22" s="14">
        <v>458559.99999991001</v>
      </c>
      <c r="U22" s="12">
        <f t="shared" si="55"/>
        <v>-17</v>
      </c>
      <c r="V22" s="14">
        <f t="shared" si="56"/>
        <v>-271432.38095235021</v>
      </c>
      <c r="W22" s="13">
        <f t="shared" si="57"/>
        <v>-0.37182906018590522</v>
      </c>
      <c r="Y22" s="16"/>
      <c r="Z22" s="15" t="s">
        <v>7</v>
      </c>
      <c r="AA22" s="12">
        <v>46</v>
      </c>
      <c r="AB22" s="14">
        <v>560346.66666656011</v>
      </c>
      <c r="AC22" s="14">
        <f t="shared" si="58"/>
        <v>6</v>
      </c>
      <c r="AD22" s="14">
        <f t="shared" si="59"/>
        <v>101786.6666666501</v>
      </c>
      <c r="AE22" s="13">
        <f t="shared" si="60"/>
        <v>0.22197022563387578</v>
      </c>
      <c r="AG22" s="16"/>
      <c r="AH22" s="15" t="s">
        <v>7</v>
      </c>
      <c r="AI22" s="12">
        <v>54</v>
      </c>
      <c r="AJ22" s="14">
        <v>677230.47619038017</v>
      </c>
      <c r="AK22" s="12">
        <f t="shared" si="61"/>
        <v>8</v>
      </c>
      <c r="AL22" s="14">
        <f t="shared" si="62"/>
        <v>116883.80952382006</v>
      </c>
      <c r="AM22" s="13">
        <f t="shared" si="63"/>
        <v>0.20859196007919317</v>
      </c>
      <c r="AO22" s="16"/>
      <c r="AP22" s="15" t="s">
        <v>7</v>
      </c>
      <c r="AQ22" s="12">
        <v>46</v>
      </c>
      <c r="AR22" s="14">
        <v>579942.85714276007</v>
      </c>
      <c r="AS22" s="12">
        <f t="shared" si="64"/>
        <v>-8</v>
      </c>
      <c r="AT22" s="14">
        <f t="shared" si="64"/>
        <v>-97287.619047620101</v>
      </c>
      <c r="AU22" s="13">
        <f t="shared" si="65"/>
        <v>-0.14365511073112283</v>
      </c>
      <c r="AW22" s="16"/>
      <c r="AX22" s="15" t="s">
        <v>7</v>
      </c>
      <c r="AY22" s="44">
        <v>44</v>
      </c>
      <c r="AZ22" s="44">
        <v>582990.47619038995</v>
      </c>
      <c r="BA22" s="12">
        <f t="shared" si="66"/>
        <v>-2</v>
      </c>
      <c r="BB22" s="14">
        <f t="shared" si="67"/>
        <v>3047.6190476298798</v>
      </c>
      <c r="BC22" s="13">
        <f t="shared" si="68"/>
        <v>5.2550333366372867E-3</v>
      </c>
      <c r="BE22" s="16"/>
      <c r="BF22" s="15" t="s">
        <v>7</v>
      </c>
      <c r="BG22" s="12">
        <v>39</v>
      </c>
      <c r="BH22" s="14">
        <v>463299.04761897004</v>
      </c>
      <c r="BI22" s="12">
        <f t="shared" si="69"/>
        <v>-5</v>
      </c>
      <c r="BJ22" s="14">
        <f t="shared" si="70"/>
        <v>-119691.42857141991</v>
      </c>
      <c r="BK22" s="13">
        <f t="shared" si="71"/>
        <v>-0.20530597575719522</v>
      </c>
      <c r="BL22" s="35"/>
      <c r="BM22" s="16"/>
      <c r="BN22" s="15" t="s">
        <v>7</v>
      </c>
      <c r="BO22" s="12">
        <v>32</v>
      </c>
      <c r="BP22" s="14">
        <v>411417.14285706007</v>
      </c>
      <c r="BQ22" s="12">
        <f t="shared" si="72"/>
        <v>-7</v>
      </c>
      <c r="BR22" s="14">
        <f t="shared" si="73"/>
        <v>-51881.904761909973</v>
      </c>
      <c r="BS22" s="13">
        <f t="shared" si="74"/>
        <v>-0.11198362057626997</v>
      </c>
      <c r="BU22" s="16"/>
      <c r="BV22" s="15" t="s">
        <v>7</v>
      </c>
      <c r="BW22" s="12">
        <v>26</v>
      </c>
      <c r="BX22" s="14">
        <v>321521.90476183</v>
      </c>
      <c r="BY22" s="12">
        <f t="shared" si="75"/>
        <v>-6</v>
      </c>
      <c r="BZ22" s="14">
        <f t="shared" si="76"/>
        <v>-89895.238095230074</v>
      </c>
      <c r="CA22" s="13">
        <f t="shared" si="77"/>
        <v>-0.21850143985483525</v>
      </c>
      <c r="CC22" s="16"/>
      <c r="CD22" s="15" t="s">
        <v>7</v>
      </c>
      <c r="CE22" s="12">
        <v>27</v>
      </c>
      <c r="CF22" s="14">
        <v>359331.42857136001</v>
      </c>
      <c r="CG22" s="12">
        <f t="shared" si="78"/>
        <v>1</v>
      </c>
      <c r="CH22" s="14">
        <f t="shared" si="79"/>
        <v>37809.523809530016</v>
      </c>
      <c r="CI22" s="13">
        <f t="shared" si="80"/>
        <v>0.11759548338561172</v>
      </c>
      <c r="CK22" s="16"/>
      <c r="CL22" s="15" t="s">
        <v>7</v>
      </c>
      <c r="CM22" s="12">
        <v>51</v>
      </c>
      <c r="CN22" s="14">
        <v>617807.61904751009</v>
      </c>
      <c r="CO22" s="12">
        <f t="shared" si="81"/>
        <v>24</v>
      </c>
      <c r="CP22" s="14">
        <f t="shared" si="82"/>
        <v>258476.19047615008</v>
      </c>
      <c r="CQ22" s="13">
        <f t="shared" si="83"/>
        <v>0.71932530784687265</v>
      </c>
      <c r="CS22" s="16"/>
      <c r="CT22" s="15" t="s">
        <v>7</v>
      </c>
      <c r="CU22" s="12">
        <v>41</v>
      </c>
      <c r="CV22" s="14">
        <v>551518.09523801005</v>
      </c>
      <c r="CW22" s="12">
        <f t="shared" si="84"/>
        <v>-10</v>
      </c>
      <c r="CX22" s="14">
        <f t="shared" si="85"/>
        <v>-66289.523809500039</v>
      </c>
      <c r="CY22" s="13">
        <f t="shared" si="86"/>
        <v>-0.10729800307691301</v>
      </c>
    </row>
    <row r="23" spans="1:103" s="12" customFormat="1" ht="20" customHeight="1">
      <c r="A23" s="16"/>
      <c r="B23" s="15" t="s">
        <v>6</v>
      </c>
      <c r="C23" s="12">
        <v>5</v>
      </c>
      <c r="D23" s="14">
        <v>14285.7142857</v>
      </c>
      <c r="F23" s="14"/>
      <c r="G23" s="13"/>
      <c r="I23" s="16"/>
      <c r="J23" s="15" t="s">
        <v>6</v>
      </c>
      <c r="K23" s="12">
        <v>9</v>
      </c>
      <c r="L23" s="14">
        <v>31714.285714259997</v>
      </c>
      <c r="M23" s="12">
        <f t="shared" si="52"/>
        <v>4</v>
      </c>
      <c r="N23" s="14">
        <f t="shared" si="53"/>
        <v>17428.571428559997</v>
      </c>
      <c r="O23" s="13">
        <f t="shared" si="54"/>
        <v>1.2200000000004199</v>
      </c>
      <c r="Q23" s="16"/>
      <c r="R23" s="15" t="s">
        <v>6</v>
      </c>
      <c r="S23" s="12">
        <v>4</v>
      </c>
      <c r="T23" s="14">
        <v>17228.571428559997</v>
      </c>
      <c r="U23" s="12">
        <f t="shared" si="55"/>
        <v>-5</v>
      </c>
      <c r="V23" s="14">
        <f t="shared" si="56"/>
        <v>-14485.7142857</v>
      </c>
      <c r="W23" s="13">
        <f t="shared" si="57"/>
        <v>-0.45675675675667671</v>
      </c>
      <c r="Y23" s="16"/>
      <c r="Z23" s="15" t="s">
        <v>6</v>
      </c>
      <c r="AA23" s="12">
        <v>4</v>
      </c>
      <c r="AB23" s="14">
        <v>11142.85714285</v>
      </c>
      <c r="AC23" s="14">
        <f t="shared" si="58"/>
        <v>0</v>
      </c>
      <c r="AD23" s="14">
        <f t="shared" si="59"/>
        <v>-6085.7142857099971</v>
      </c>
      <c r="AE23" s="13">
        <f t="shared" si="60"/>
        <v>-0.3532338308457566</v>
      </c>
      <c r="AG23" s="16"/>
      <c r="AH23" s="15" t="s">
        <v>6</v>
      </c>
      <c r="AI23" s="12">
        <v>7</v>
      </c>
      <c r="AJ23" s="14">
        <v>25999.999999979998</v>
      </c>
      <c r="AK23" s="12">
        <f t="shared" si="61"/>
        <v>3</v>
      </c>
      <c r="AL23" s="14">
        <f t="shared" si="62"/>
        <v>14857.142857129998</v>
      </c>
      <c r="AM23" s="13">
        <f t="shared" si="63"/>
        <v>1.3333333333330342</v>
      </c>
      <c r="AO23" s="16"/>
      <c r="AP23" s="15" t="s">
        <v>6</v>
      </c>
      <c r="AQ23" s="12">
        <v>3</v>
      </c>
      <c r="AR23" s="14">
        <v>8571.4285714200014</v>
      </c>
      <c r="AS23" s="12">
        <f t="shared" si="64"/>
        <v>-4</v>
      </c>
      <c r="AT23" s="14">
        <f t="shared" si="64"/>
        <v>-17428.571428559997</v>
      </c>
      <c r="AU23" s="13">
        <f t="shared" si="65"/>
        <v>-0.67032967032974633</v>
      </c>
      <c r="AW23" s="16"/>
      <c r="AX23" s="15" t="s">
        <v>6</v>
      </c>
      <c r="AY23" s="44">
        <v>11</v>
      </c>
      <c r="AZ23" s="44">
        <v>31428.571428560001</v>
      </c>
      <c r="BA23" s="12">
        <f t="shared" si="66"/>
        <v>8</v>
      </c>
      <c r="BB23" s="14">
        <f t="shared" si="67"/>
        <v>22857.142857139999</v>
      </c>
      <c r="BC23" s="13">
        <f t="shared" si="68"/>
        <v>2.6666666666689993</v>
      </c>
      <c r="BE23" s="16"/>
      <c r="BF23" s="15" t="s">
        <v>6</v>
      </c>
      <c r="BG23" s="12">
        <v>2</v>
      </c>
      <c r="BH23" s="14">
        <v>11714.285714279999</v>
      </c>
      <c r="BI23" s="12">
        <f t="shared" si="69"/>
        <v>-9</v>
      </c>
      <c r="BJ23" s="14">
        <f t="shared" si="70"/>
        <v>-19714.285714280002</v>
      </c>
      <c r="BK23" s="13">
        <f t="shared" si="71"/>
        <v>-0.62727272727277361</v>
      </c>
      <c r="BL23" s="35"/>
      <c r="BM23" s="16"/>
      <c r="BN23" s="15" t="s">
        <v>6</v>
      </c>
      <c r="BO23" s="12">
        <v>5</v>
      </c>
      <c r="BP23" s="14">
        <v>23323.809523789998</v>
      </c>
      <c r="BQ23" s="12">
        <f t="shared" si="72"/>
        <v>3</v>
      </c>
      <c r="BR23" s="14">
        <f t="shared" si="73"/>
        <v>11609.523809509999</v>
      </c>
      <c r="BS23" s="13">
        <f t="shared" si="74"/>
        <v>0.99105691056841039</v>
      </c>
      <c r="BU23" s="16"/>
      <c r="BV23" s="15" t="s">
        <v>6</v>
      </c>
      <c r="BW23" s="12">
        <v>2</v>
      </c>
      <c r="BX23" s="14">
        <v>5714.2857142800003</v>
      </c>
      <c r="BY23" s="12">
        <f t="shared" si="75"/>
        <v>-3</v>
      </c>
      <c r="BZ23" s="14">
        <f t="shared" si="76"/>
        <v>-17609.523809509999</v>
      </c>
      <c r="CA23" s="13">
        <f t="shared" si="77"/>
        <v>-0.75500204164969287</v>
      </c>
      <c r="CC23" s="16"/>
      <c r="CD23" s="15" t="s">
        <v>6</v>
      </c>
      <c r="CE23" s="12">
        <v>7</v>
      </c>
      <c r="CF23" s="14">
        <v>19999.999999989999</v>
      </c>
      <c r="CG23" s="12">
        <f t="shared" si="78"/>
        <v>5</v>
      </c>
      <c r="CH23" s="14">
        <f t="shared" si="79"/>
        <v>14285.714285709999</v>
      </c>
      <c r="CI23" s="13">
        <f t="shared" si="80"/>
        <v>2.5000000000017497</v>
      </c>
      <c r="CK23" s="16"/>
      <c r="CL23" s="15" t="s">
        <v>6</v>
      </c>
      <c r="CM23" s="12">
        <v>3</v>
      </c>
      <c r="CN23" s="14">
        <v>8371.4285714200014</v>
      </c>
      <c r="CO23" s="12">
        <f t="shared" si="81"/>
        <v>-4</v>
      </c>
      <c r="CP23" s="14">
        <f t="shared" si="82"/>
        <v>-11628.571428569998</v>
      </c>
      <c r="CQ23" s="13">
        <f t="shared" si="83"/>
        <v>-0.58142857142879067</v>
      </c>
      <c r="CS23" s="16"/>
      <c r="CT23" s="15" t="s">
        <v>6</v>
      </c>
      <c r="CU23" s="12">
        <v>2</v>
      </c>
      <c r="CV23" s="14">
        <v>4276.1904761799997</v>
      </c>
      <c r="CW23" s="12">
        <f t="shared" si="84"/>
        <v>-1</v>
      </c>
      <c r="CX23" s="14">
        <f t="shared" si="85"/>
        <v>-4095.2380952400017</v>
      </c>
      <c r="CY23" s="13">
        <f t="shared" si="86"/>
        <v>-0.48919226393701976</v>
      </c>
    </row>
    <row r="24" spans="1:103" s="12" customFormat="1" ht="20" customHeight="1">
      <c r="A24" s="16"/>
      <c r="B24" s="15" t="s">
        <v>5</v>
      </c>
      <c r="C24" s="12">
        <v>5</v>
      </c>
      <c r="D24" s="14">
        <v>19560</v>
      </c>
      <c r="F24" s="14"/>
      <c r="G24" s="13"/>
      <c r="I24" s="16"/>
      <c r="J24" s="15" t="s">
        <v>5</v>
      </c>
      <c r="K24" s="12">
        <v>4</v>
      </c>
      <c r="L24" s="14">
        <v>30660</v>
      </c>
      <c r="M24" s="12">
        <f t="shared" si="52"/>
        <v>-1</v>
      </c>
      <c r="N24" s="14">
        <f t="shared" si="53"/>
        <v>11100</v>
      </c>
      <c r="O24" s="13">
        <f t="shared" si="54"/>
        <v>0.56748466257668717</v>
      </c>
      <c r="Q24" s="16"/>
      <c r="R24" s="15" t="s">
        <v>5</v>
      </c>
      <c r="S24" s="12">
        <v>5</v>
      </c>
      <c r="T24" s="14">
        <v>26450</v>
      </c>
      <c r="U24" s="12">
        <f t="shared" si="55"/>
        <v>1</v>
      </c>
      <c r="V24" s="14">
        <f t="shared" si="56"/>
        <v>-4210</v>
      </c>
      <c r="W24" s="13">
        <f t="shared" si="57"/>
        <v>-0.13731245923026744</v>
      </c>
      <c r="Y24" s="16"/>
      <c r="Z24" s="15" t="s">
        <v>5</v>
      </c>
      <c r="AA24" s="12">
        <v>8</v>
      </c>
      <c r="AB24" s="14">
        <v>44320</v>
      </c>
      <c r="AC24" s="14">
        <f t="shared" si="58"/>
        <v>3</v>
      </c>
      <c r="AD24" s="14">
        <f t="shared" si="59"/>
        <v>17870</v>
      </c>
      <c r="AE24" s="13">
        <f t="shared" si="60"/>
        <v>0.67561436672967867</v>
      </c>
      <c r="AG24" s="16"/>
      <c r="AH24" s="15" t="s">
        <v>5</v>
      </c>
      <c r="AI24" s="12">
        <v>10</v>
      </c>
      <c r="AJ24" s="14">
        <v>51400</v>
      </c>
      <c r="AK24" s="12">
        <f t="shared" si="61"/>
        <v>2</v>
      </c>
      <c r="AL24" s="14">
        <f t="shared" si="62"/>
        <v>7080</v>
      </c>
      <c r="AM24" s="13">
        <f t="shared" si="63"/>
        <v>0.15974729241877256</v>
      </c>
      <c r="AO24" s="16"/>
      <c r="AP24" s="15" t="s">
        <v>5</v>
      </c>
      <c r="AQ24" s="38">
        <v>0</v>
      </c>
      <c r="AR24" s="46">
        <v>0</v>
      </c>
      <c r="AS24" s="12">
        <v>6</v>
      </c>
      <c r="AT24" s="14">
        <f>AR24-AJ24</f>
        <v>-51400</v>
      </c>
      <c r="AU24" s="13">
        <f t="shared" si="65"/>
        <v>-1</v>
      </c>
      <c r="AW24" s="16"/>
      <c r="AX24" s="15" t="s">
        <v>5</v>
      </c>
      <c r="AY24" s="44">
        <v>6</v>
      </c>
      <c r="AZ24" s="44">
        <v>26240</v>
      </c>
      <c r="BA24" s="12">
        <f t="shared" si="66"/>
        <v>6</v>
      </c>
      <c r="BB24" s="14">
        <f t="shared" si="67"/>
        <v>26240</v>
      </c>
      <c r="BC24" s="13" t="e">
        <f t="shared" si="68"/>
        <v>#DIV/0!</v>
      </c>
      <c r="BE24" s="16"/>
      <c r="BF24" s="15" t="s">
        <v>5</v>
      </c>
      <c r="BG24" s="12">
        <v>7</v>
      </c>
      <c r="BH24" s="14">
        <v>27130</v>
      </c>
      <c r="BI24" s="12">
        <f t="shared" si="69"/>
        <v>1</v>
      </c>
      <c r="BJ24" s="14">
        <f t="shared" si="70"/>
        <v>890</v>
      </c>
      <c r="BK24" s="13">
        <f t="shared" si="71"/>
        <v>3.3917682926829271E-2</v>
      </c>
      <c r="BL24" s="35"/>
      <c r="BM24" s="16"/>
      <c r="BN24" s="15" t="s">
        <v>5</v>
      </c>
      <c r="BO24" s="12">
        <v>6</v>
      </c>
      <c r="BP24" s="14">
        <v>17040</v>
      </c>
      <c r="BQ24" s="12">
        <f t="shared" si="72"/>
        <v>-1</v>
      </c>
      <c r="BR24" s="14">
        <f t="shared" si="73"/>
        <v>-10090</v>
      </c>
      <c r="BS24" s="13">
        <f t="shared" si="74"/>
        <v>-0.37191301142646516</v>
      </c>
      <c r="BU24" s="16"/>
      <c r="BV24" s="15" t="s">
        <v>5</v>
      </c>
      <c r="BW24" s="12">
        <v>3</v>
      </c>
      <c r="BX24" s="14">
        <v>7770</v>
      </c>
      <c r="BY24" s="12">
        <f t="shared" si="75"/>
        <v>-3</v>
      </c>
      <c r="BZ24" s="14">
        <f t="shared" si="76"/>
        <v>-9270</v>
      </c>
      <c r="CA24" s="13">
        <f t="shared" si="77"/>
        <v>-0.54401408450704225</v>
      </c>
      <c r="CC24" s="16"/>
      <c r="CD24" s="15" t="s">
        <v>5</v>
      </c>
      <c r="CE24" s="12">
        <v>5</v>
      </c>
      <c r="CF24" s="14">
        <v>21550</v>
      </c>
      <c r="CG24" s="12">
        <f t="shared" si="78"/>
        <v>2</v>
      </c>
      <c r="CH24" s="14">
        <f t="shared" si="79"/>
        <v>13780</v>
      </c>
      <c r="CI24" s="13">
        <f t="shared" si="80"/>
        <v>1.7734877734877734</v>
      </c>
      <c r="CK24" s="16"/>
      <c r="CL24" s="15" t="s">
        <v>5</v>
      </c>
      <c r="CM24" s="12">
        <v>12</v>
      </c>
      <c r="CN24" s="14">
        <v>52680</v>
      </c>
      <c r="CO24" s="12">
        <f t="shared" si="81"/>
        <v>7</v>
      </c>
      <c r="CP24" s="14">
        <f t="shared" si="82"/>
        <v>31130</v>
      </c>
      <c r="CQ24" s="13">
        <f t="shared" si="83"/>
        <v>1.4445475638051044</v>
      </c>
      <c r="CS24" s="16"/>
      <c r="CT24" s="15" t="s">
        <v>5</v>
      </c>
      <c r="CU24" s="12">
        <v>7</v>
      </c>
      <c r="CV24" s="14">
        <v>43230</v>
      </c>
      <c r="CW24" s="12">
        <f t="shared" si="84"/>
        <v>-5</v>
      </c>
      <c r="CX24" s="14">
        <f t="shared" si="85"/>
        <v>-9450</v>
      </c>
      <c r="CY24" s="13">
        <f t="shared" si="86"/>
        <v>-0.17938496583143507</v>
      </c>
    </row>
    <row r="25" spans="1:103" s="12" customFormat="1" ht="20" customHeight="1">
      <c r="A25" s="16"/>
      <c r="B25" s="15" t="s">
        <v>4</v>
      </c>
      <c r="C25" s="12">
        <v>8</v>
      </c>
      <c r="D25" s="14">
        <v>302095.23809519998</v>
      </c>
      <c r="F25" s="14"/>
      <c r="G25" s="13"/>
      <c r="I25" s="16"/>
      <c r="J25" s="15" t="s">
        <v>4</v>
      </c>
      <c r="K25" s="12">
        <v>13</v>
      </c>
      <c r="L25" s="14">
        <v>546753.33333328995</v>
      </c>
      <c r="M25" s="12">
        <f t="shared" si="52"/>
        <v>5</v>
      </c>
      <c r="N25" s="14">
        <f t="shared" si="53"/>
        <v>244658.09523808997</v>
      </c>
      <c r="O25" s="13">
        <f t="shared" si="54"/>
        <v>0.809870744010173</v>
      </c>
      <c r="Q25" s="16"/>
      <c r="R25" s="15" t="s">
        <v>4</v>
      </c>
      <c r="S25" s="12">
        <v>5</v>
      </c>
      <c r="T25" s="14">
        <v>195937.14285711999</v>
      </c>
      <c r="U25" s="12">
        <f t="shared" si="55"/>
        <v>-8</v>
      </c>
      <c r="V25" s="14">
        <f t="shared" si="56"/>
        <v>-350816.19047616993</v>
      </c>
      <c r="W25" s="13">
        <f t="shared" si="57"/>
        <v>-0.64163521114249766</v>
      </c>
      <c r="Y25" s="16"/>
      <c r="Z25" s="15" t="s">
        <v>4</v>
      </c>
      <c r="AA25" s="12">
        <v>13</v>
      </c>
      <c r="AB25" s="14">
        <v>437815.23809518997</v>
      </c>
      <c r="AC25" s="14">
        <f t="shared" si="58"/>
        <v>8</v>
      </c>
      <c r="AD25" s="14">
        <f t="shared" si="59"/>
        <v>241878.09523806997</v>
      </c>
      <c r="AE25" s="13">
        <f t="shared" si="60"/>
        <v>1.2344678079461981</v>
      </c>
      <c r="AG25" s="16"/>
      <c r="AH25" s="15" t="s">
        <v>4</v>
      </c>
      <c r="AI25" s="12">
        <v>7</v>
      </c>
      <c r="AJ25" s="14">
        <v>273816.19047615997</v>
      </c>
      <c r="AK25" s="12">
        <f t="shared" si="61"/>
        <v>-6</v>
      </c>
      <c r="AL25" s="14">
        <f t="shared" si="62"/>
        <v>-163999.04761903</v>
      </c>
      <c r="AM25" s="13">
        <f t="shared" si="63"/>
        <v>-0.37458506088674159</v>
      </c>
      <c r="AO25" s="16"/>
      <c r="AP25" s="15" t="s">
        <v>4</v>
      </c>
      <c r="AQ25" s="12">
        <v>8</v>
      </c>
      <c r="AR25" s="14">
        <v>363023.80952377</v>
      </c>
      <c r="AS25" s="12">
        <v>9</v>
      </c>
      <c r="AT25" s="14">
        <f>AR25-AJ25</f>
        <v>89207.619047610031</v>
      </c>
      <c r="AU25" s="13">
        <f t="shared" si="65"/>
        <v>0.32579380675949093</v>
      </c>
      <c r="AW25" s="16"/>
      <c r="AX25" s="15" t="s">
        <v>4</v>
      </c>
      <c r="AY25" s="44">
        <v>13</v>
      </c>
      <c r="AZ25" s="44">
        <v>521363.80952376995</v>
      </c>
      <c r="BA25" s="12">
        <f t="shared" si="66"/>
        <v>5</v>
      </c>
      <c r="BB25" s="14">
        <f t="shared" si="67"/>
        <v>158339.99999999994</v>
      </c>
      <c r="BC25" s="13">
        <f t="shared" si="68"/>
        <v>0.4361697383092229</v>
      </c>
      <c r="BE25" s="16"/>
      <c r="BF25" s="15" t="s">
        <v>4</v>
      </c>
      <c r="BG25" s="12">
        <v>18</v>
      </c>
      <c r="BH25" s="14">
        <v>737320.95238089992</v>
      </c>
      <c r="BI25" s="12">
        <f t="shared" si="69"/>
        <v>5</v>
      </c>
      <c r="BJ25" s="14">
        <f t="shared" si="70"/>
        <v>215957.14285712998</v>
      </c>
      <c r="BK25" s="13">
        <f t="shared" si="71"/>
        <v>0.41421582954595948</v>
      </c>
      <c r="BL25" s="35"/>
      <c r="BM25" s="16"/>
      <c r="BN25" s="15" t="s">
        <v>4</v>
      </c>
      <c r="BO25" s="12">
        <v>11</v>
      </c>
      <c r="BP25" s="14">
        <v>391333.33333328995</v>
      </c>
      <c r="BQ25" s="12">
        <f t="shared" si="72"/>
        <v>-7</v>
      </c>
      <c r="BR25" s="14">
        <f t="shared" si="73"/>
        <v>-345987.61904760997</v>
      </c>
      <c r="BS25" s="13">
        <f t="shared" si="74"/>
        <v>-0.46924967740354245</v>
      </c>
      <c r="BU25" s="16"/>
      <c r="BV25" s="15" t="s">
        <v>4</v>
      </c>
      <c r="BW25" s="12">
        <v>6</v>
      </c>
      <c r="BX25" s="14">
        <v>281323.80952378002</v>
      </c>
      <c r="BY25" s="12">
        <f t="shared" si="75"/>
        <v>-5</v>
      </c>
      <c r="BZ25" s="14">
        <f t="shared" si="76"/>
        <v>-110009.52380950993</v>
      </c>
      <c r="CA25" s="13">
        <f t="shared" si="77"/>
        <v>-0.28111462642978396</v>
      </c>
      <c r="CC25" s="16"/>
      <c r="CD25" s="15" t="s">
        <v>4</v>
      </c>
      <c r="CE25" s="12">
        <v>16</v>
      </c>
      <c r="CF25" s="14">
        <v>643619.04761899996</v>
      </c>
      <c r="CG25" s="12">
        <f t="shared" si="78"/>
        <v>10</v>
      </c>
      <c r="CH25" s="14">
        <f t="shared" si="79"/>
        <v>362295.23809521995</v>
      </c>
      <c r="CI25" s="13">
        <f t="shared" si="80"/>
        <v>1.2878228782288528</v>
      </c>
      <c r="CK25" s="16"/>
      <c r="CL25" s="15" t="s">
        <v>4</v>
      </c>
      <c r="CM25" s="12">
        <v>21</v>
      </c>
      <c r="CN25" s="14">
        <v>740127.61904755002</v>
      </c>
      <c r="CO25" s="12">
        <f t="shared" si="81"/>
        <v>5</v>
      </c>
      <c r="CP25" s="14">
        <f t="shared" si="82"/>
        <v>96508.571428550058</v>
      </c>
      <c r="CQ25" s="13">
        <f t="shared" si="83"/>
        <v>0.14994672980169438</v>
      </c>
      <c r="CS25" s="16"/>
      <c r="CT25" s="15" t="s">
        <v>4</v>
      </c>
      <c r="CU25" s="12">
        <v>20</v>
      </c>
      <c r="CV25" s="14">
        <v>885300.95238087012</v>
      </c>
      <c r="CW25" s="12">
        <f t="shared" si="84"/>
        <v>-1</v>
      </c>
      <c r="CX25" s="14">
        <f t="shared" si="85"/>
        <v>145173.3333333201</v>
      </c>
      <c r="CY25" s="13">
        <f t="shared" si="86"/>
        <v>0.19614635313858397</v>
      </c>
    </row>
    <row r="26" spans="1:103" s="12" customFormat="1" ht="20" customHeight="1">
      <c r="A26" s="16"/>
      <c r="B26" s="15" t="s">
        <v>3</v>
      </c>
      <c r="C26" s="12">
        <v>35</v>
      </c>
      <c r="D26" s="14">
        <v>636666.66666660993</v>
      </c>
      <c r="F26" s="14"/>
      <c r="G26" s="13"/>
      <c r="I26" s="16"/>
      <c r="J26" s="15" t="s">
        <v>3</v>
      </c>
      <c r="K26" s="12">
        <v>29</v>
      </c>
      <c r="L26" s="14">
        <v>499619.04761898995</v>
      </c>
      <c r="M26" s="12">
        <f t="shared" si="52"/>
        <v>-6</v>
      </c>
      <c r="N26" s="14">
        <f t="shared" si="53"/>
        <v>-137047.61904761998</v>
      </c>
      <c r="O26" s="13">
        <f t="shared" si="54"/>
        <v>-0.21525804038895111</v>
      </c>
      <c r="Q26" s="16"/>
      <c r="R26" s="15" t="s">
        <v>3</v>
      </c>
      <c r="S26" s="12">
        <v>30</v>
      </c>
      <c r="T26" s="14">
        <v>460190.47619041998</v>
      </c>
      <c r="U26" s="12">
        <f t="shared" si="55"/>
        <v>1</v>
      </c>
      <c r="V26" s="14">
        <f t="shared" si="56"/>
        <v>-39428.571428569965</v>
      </c>
      <c r="W26" s="13">
        <f t="shared" si="57"/>
        <v>-7.8917270301188031E-2</v>
      </c>
      <c r="Y26" s="16"/>
      <c r="Z26" s="15" t="s">
        <v>3</v>
      </c>
      <c r="AA26" s="12">
        <v>38</v>
      </c>
      <c r="AB26" s="14">
        <v>731333.33333323011</v>
      </c>
      <c r="AC26" s="14">
        <f t="shared" si="58"/>
        <v>8</v>
      </c>
      <c r="AD26" s="14">
        <f t="shared" si="59"/>
        <v>271142.85714281013</v>
      </c>
      <c r="AE26" s="13">
        <f t="shared" si="60"/>
        <v>0.58919701986751949</v>
      </c>
      <c r="AG26" s="16"/>
      <c r="AH26" s="15" t="s">
        <v>3</v>
      </c>
      <c r="AI26" s="12">
        <v>57</v>
      </c>
      <c r="AJ26" s="14">
        <v>1092857.14285704</v>
      </c>
      <c r="AK26" s="12">
        <f t="shared" si="61"/>
        <v>19</v>
      </c>
      <c r="AL26" s="14">
        <f t="shared" si="62"/>
        <v>361523.80952380993</v>
      </c>
      <c r="AM26" s="13">
        <f t="shared" si="63"/>
        <v>0.49433519989589009</v>
      </c>
      <c r="AO26" s="16"/>
      <c r="AP26" s="15" t="s">
        <v>3</v>
      </c>
      <c r="AQ26" s="12">
        <v>39</v>
      </c>
      <c r="AR26" s="14">
        <v>748095.23809513007</v>
      </c>
      <c r="AS26" s="12">
        <v>33</v>
      </c>
      <c r="AT26" s="14">
        <f>AR26-AJ26</f>
        <v>-344761.90476190997</v>
      </c>
      <c r="AU26" s="13">
        <f t="shared" si="65"/>
        <v>-0.31546840958609107</v>
      </c>
      <c r="AW26" s="16"/>
      <c r="AX26" s="15" t="s">
        <v>3</v>
      </c>
      <c r="AY26" s="44">
        <v>45</v>
      </c>
      <c r="AZ26" s="44">
        <v>1016285.71428563</v>
      </c>
      <c r="BA26" s="12">
        <f t="shared" si="66"/>
        <v>6</v>
      </c>
      <c r="BB26" s="14">
        <f t="shared" si="67"/>
        <v>268190.47619049996</v>
      </c>
      <c r="BC26" s="13">
        <f t="shared" si="68"/>
        <v>0.35849777211975253</v>
      </c>
      <c r="BE26" s="16"/>
      <c r="BF26" s="15" t="s">
        <v>3</v>
      </c>
      <c r="BG26" s="12">
        <v>44</v>
      </c>
      <c r="BH26" s="14">
        <v>828095.23809514008</v>
      </c>
      <c r="BI26" s="12">
        <f t="shared" si="69"/>
        <v>-1</v>
      </c>
      <c r="BJ26" s="14">
        <f t="shared" si="70"/>
        <v>-188190.47619048995</v>
      </c>
      <c r="BK26" s="13">
        <f t="shared" si="71"/>
        <v>-0.18517477274859978</v>
      </c>
      <c r="BL26" s="35"/>
      <c r="BM26" s="16"/>
      <c r="BN26" s="15" t="s">
        <v>3</v>
      </c>
      <c r="BO26" s="12">
        <v>52</v>
      </c>
      <c r="BP26" s="14">
        <v>1081428.5714284501</v>
      </c>
      <c r="BQ26" s="12">
        <f t="shared" si="72"/>
        <v>8</v>
      </c>
      <c r="BR26" s="14">
        <f t="shared" si="73"/>
        <v>253333.33333330997</v>
      </c>
      <c r="BS26" s="13">
        <f t="shared" si="74"/>
        <v>0.30592294422082456</v>
      </c>
      <c r="BU26" s="16"/>
      <c r="BV26" s="15" t="s">
        <v>3</v>
      </c>
      <c r="BW26" s="12">
        <v>42</v>
      </c>
      <c r="BX26" s="14">
        <v>792848.57142847998</v>
      </c>
      <c r="BY26" s="12">
        <f t="shared" si="75"/>
        <v>-10</v>
      </c>
      <c r="BZ26" s="14">
        <f t="shared" si="76"/>
        <v>-288579.99999997008</v>
      </c>
      <c r="CA26" s="13">
        <f t="shared" si="77"/>
        <v>-0.26685072655218195</v>
      </c>
      <c r="CC26" s="16"/>
      <c r="CD26" s="15" t="s">
        <v>3</v>
      </c>
      <c r="CE26" s="12">
        <v>42</v>
      </c>
      <c r="CF26" s="14">
        <v>797809.52380942996</v>
      </c>
      <c r="CG26" s="12">
        <f t="shared" si="78"/>
        <v>0</v>
      </c>
      <c r="CH26" s="14">
        <f t="shared" si="79"/>
        <v>4960.9523809499806</v>
      </c>
      <c r="CI26" s="13">
        <f t="shared" si="80"/>
        <v>6.2571247016461207E-3</v>
      </c>
      <c r="CK26" s="16"/>
      <c r="CL26" s="15" t="s">
        <v>3</v>
      </c>
      <c r="CM26" s="12">
        <v>79</v>
      </c>
      <c r="CN26" s="14">
        <v>1410761.9047618001</v>
      </c>
      <c r="CO26" s="12">
        <f t="shared" si="81"/>
        <v>37</v>
      </c>
      <c r="CP26" s="14">
        <f t="shared" si="82"/>
        <v>612952.38095237012</v>
      </c>
      <c r="CQ26" s="13">
        <f t="shared" si="83"/>
        <v>0.76829413871321994</v>
      </c>
      <c r="CS26" s="16"/>
      <c r="CT26" s="15" t="s">
        <v>3</v>
      </c>
      <c r="CU26" s="12">
        <v>39</v>
      </c>
      <c r="CV26" s="14">
        <v>810999.99999994005</v>
      </c>
      <c r="CW26" s="12">
        <f t="shared" si="84"/>
        <v>-40</v>
      </c>
      <c r="CX26" s="14">
        <f t="shared" si="85"/>
        <v>-599761.90476186003</v>
      </c>
      <c r="CY26" s="13">
        <f t="shared" si="86"/>
        <v>-0.42513332883278188</v>
      </c>
    </row>
    <row r="27" spans="1:103" s="12" customFormat="1" ht="20" customHeight="1">
      <c r="A27" s="16"/>
      <c r="B27" s="15" t="s">
        <v>2</v>
      </c>
      <c r="C27" s="12">
        <v>47</v>
      </c>
      <c r="D27" s="14">
        <v>1755523.8095237003</v>
      </c>
      <c r="F27" s="14"/>
      <c r="G27" s="13"/>
      <c r="I27" s="16"/>
      <c r="J27" s="15" t="s">
        <v>2</v>
      </c>
      <c r="K27" s="12">
        <v>65</v>
      </c>
      <c r="L27" s="14">
        <v>2568095.2380950903</v>
      </c>
      <c r="M27" s="12">
        <f t="shared" si="52"/>
        <v>18</v>
      </c>
      <c r="N27" s="14">
        <f t="shared" si="53"/>
        <v>812571.42857138999</v>
      </c>
      <c r="O27" s="13">
        <f t="shared" si="54"/>
        <v>0.46286551293875799</v>
      </c>
      <c r="Q27" s="16"/>
      <c r="R27" s="15" t="s">
        <v>2</v>
      </c>
      <c r="S27" s="12">
        <v>110</v>
      </c>
      <c r="T27" s="14">
        <v>4430476.1904760608</v>
      </c>
      <c r="U27" s="12">
        <f t="shared" si="55"/>
        <v>45</v>
      </c>
      <c r="V27" s="14">
        <f t="shared" si="56"/>
        <v>1862380.9523809706</v>
      </c>
      <c r="W27" s="13">
        <f t="shared" si="57"/>
        <v>0.7251993324680629</v>
      </c>
      <c r="Y27" s="16"/>
      <c r="Z27" s="15" t="s">
        <v>2</v>
      </c>
      <c r="AA27" s="12">
        <v>74</v>
      </c>
      <c r="AB27" s="14">
        <v>2820093.3333332096</v>
      </c>
      <c r="AC27" s="14">
        <f t="shared" si="58"/>
        <v>-36</v>
      </c>
      <c r="AD27" s="14">
        <f t="shared" si="59"/>
        <v>-1610382.8571428512</v>
      </c>
      <c r="AE27" s="13">
        <f t="shared" si="60"/>
        <v>-0.3634785038693128</v>
      </c>
      <c r="AG27" s="16"/>
      <c r="AH27" s="15" t="s">
        <v>2</v>
      </c>
      <c r="AI27" s="12">
        <v>91</v>
      </c>
      <c r="AJ27" s="14">
        <v>3367249.5238094199</v>
      </c>
      <c r="AK27" s="12">
        <f t="shared" si="61"/>
        <v>17</v>
      </c>
      <c r="AL27" s="14">
        <f t="shared" si="62"/>
        <v>547156.19047621032</v>
      </c>
      <c r="AM27" s="13">
        <f t="shared" si="63"/>
        <v>0.19402059641391337</v>
      </c>
      <c r="AO27" s="16"/>
      <c r="AP27" s="15" t="s">
        <v>2</v>
      </c>
      <c r="AQ27" s="12">
        <v>57</v>
      </c>
      <c r="AR27" s="14">
        <v>2223899.9999999003</v>
      </c>
      <c r="AS27" s="12">
        <v>26</v>
      </c>
      <c r="AT27" s="14">
        <f>AR27-AJ27</f>
        <v>-1143349.5238095196</v>
      </c>
      <c r="AU27" s="13">
        <f t="shared" si="65"/>
        <v>-0.33954998455713825</v>
      </c>
      <c r="AW27" s="16"/>
      <c r="AX27" s="15" t="s">
        <v>2</v>
      </c>
      <c r="AY27" s="44">
        <v>62</v>
      </c>
      <c r="AZ27" s="44">
        <v>2286967.6190474797</v>
      </c>
      <c r="BA27" s="12">
        <f t="shared" si="66"/>
        <v>5</v>
      </c>
      <c r="BB27" s="14">
        <f t="shared" si="67"/>
        <v>63067.619047579356</v>
      </c>
      <c r="BC27" s="13">
        <f t="shared" si="68"/>
        <v>2.8359017513189522E-2</v>
      </c>
      <c r="BE27" s="16"/>
      <c r="BF27" s="15" t="s">
        <v>2</v>
      </c>
      <c r="BG27" s="12">
        <v>49</v>
      </c>
      <c r="BH27" s="14">
        <v>1866251.4285713299</v>
      </c>
      <c r="BI27" s="12">
        <f t="shared" si="69"/>
        <v>-13</v>
      </c>
      <c r="BJ27" s="14">
        <f t="shared" si="70"/>
        <v>-420716.19047614979</v>
      </c>
      <c r="BK27" s="13">
        <f t="shared" si="71"/>
        <v>-0.18396246058410645</v>
      </c>
      <c r="BL27" s="35"/>
      <c r="BM27" s="16"/>
      <c r="BN27" s="15" t="s">
        <v>2</v>
      </c>
      <c r="BO27" s="12">
        <v>56</v>
      </c>
      <c r="BP27" s="14">
        <v>1984179.04761895</v>
      </c>
      <c r="BQ27" s="12">
        <f t="shared" si="72"/>
        <v>7</v>
      </c>
      <c r="BR27" s="14">
        <f t="shared" si="73"/>
        <v>117927.6190476201</v>
      </c>
      <c r="BS27" s="13">
        <f t="shared" si="74"/>
        <v>6.3189566658709617E-2</v>
      </c>
      <c r="BU27" s="16"/>
      <c r="BV27" s="15" t="s">
        <v>2</v>
      </c>
      <c r="BW27" s="12">
        <v>37</v>
      </c>
      <c r="BX27" s="14">
        <v>1223527.61904751</v>
      </c>
      <c r="BY27" s="12">
        <f t="shared" si="75"/>
        <v>-19</v>
      </c>
      <c r="BZ27" s="14">
        <f t="shared" si="76"/>
        <v>-760651.42857144005</v>
      </c>
      <c r="CA27" s="13">
        <f t="shared" si="77"/>
        <v>-0.38335826067926443</v>
      </c>
      <c r="CC27" s="16"/>
      <c r="CD27" s="15" t="s">
        <v>2</v>
      </c>
      <c r="CE27" s="12">
        <v>84</v>
      </c>
      <c r="CF27" s="14">
        <v>2839952.38095226</v>
      </c>
      <c r="CG27" s="12">
        <f t="shared" si="78"/>
        <v>47</v>
      </c>
      <c r="CH27" s="14">
        <f t="shared" si="79"/>
        <v>1616424.76190475</v>
      </c>
      <c r="CI27" s="13">
        <f t="shared" si="80"/>
        <v>1.3211183276460094</v>
      </c>
      <c r="CK27" s="16"/>
      <c r="CL27" s="15" t="s">
        <v>2</v>
      </c>
      <c r="CM27" s="12">
        <v>109</v>
      </c>
      <c r="CN27" s="14">
        <v>3749323.8095236602</v>
      </c>
      <c r="CO27" s="12">
        <f t="shared" si="81"/>
        <v>25</v>
      </c>
      <c r="CP27" s="14">
        <f t="shared" si="82"/>
        <v>909371.42857140023</v>
      </c>
      <c r="CQ27" s="13">
        <f t="shared" si="83"/>
        <v>0.32020657623367627</v>
      </c>
      <c r="CS27" s="16"/>
      <c r="CT27" s="15" t="s">
        <v>2</v>
      </c>
      <c r="CU27" s="12">
        <v>75</v>
      </c>
      <c r="CV27" s="14">
        <v>2611063.80952367</v>
      </c>
      <c r="CW27" s="12">
        <f t="shared" si="84"/>
        <v>-34</v>
      </c>
      <c r="CX27" s="14">
        <f t="shared" si="85"/>
        <v>-1138259.9999999902</v>
      </c>
      <c r="CY27" s="13">
        <f t="shared" si="86"/>
        <v>-0.30359074271171116</v>
      </c>
    </row>
    <row r="28" spans="1:103" s="1" customFormat="1" ht="20" customHeight="1">
      <c r="A28" s="11" t="s">
        <v>13</v>
      </c>
      <c r="B28" s="11"/>
      <c r="C28" s="10">
        <v>598</v>
      </c>
      <c r="D28" s="9">
        <v>4072065.7142847301</v>
      </c>
      <c r="E28" s="29"/>
      <c r="F28" s="30"/>
      <c r="G28" s="31"/>
      <c r="I28" s="11" t="s">
        <v>13</v>
      </c>
      <c r="J28" s="11"/>
      <c r="K28" s="10">
        <v>591</v>
      </c>
      <c r="L28" s="9">
        <v>5265176.1904750904</v>
      </c>
      <c r="M28" s="10">
        <f t="shared" si="52"/>
        <v>-7</v>
      </c>
      <c r="N28" s="9">
        <f t="shared" si="53"/>
        <v>1193110.4761903603</v>
      </c>
      <c r="O28" s="8">
        <f t="shared" si="54"/>
        <v>0.29299882661641513</v>
      </c>
      <c r="Q28" s="11" t="s">
        <v>13</v>
      </c>
      <c r="R28" s="11"/>
      <c r="S28" s="10">
        <v>638</v>
      </c>
      <c r="T28" s="9">
        <v>6463984.2857133001</v>
      </c>
      <c r="U28" s="10">
        <f t="shared" si="55"/>
        <v>47</v>
      </c>
      <c r="V28" s="9">
        <f t="shared" si="56"/>
        <v>1198808.0952382097</v>
      </c>
      <c r="W28" s="8">
        <f t="shared" si="57"/>
        <v>0.22768622584879503</v>
      </c>
      <c r="Y28" s="11" t="s">
        <v>13</v>
      </c>
      <c r="Z28" s="11"/>
      <c r="AA28" s="10">
        <v>717</v>
      </c>
      <c r="AB28" s="9">
        <v>5677502.8571416</v>
      </c>
      <c r="AC28" s="9">
        <f t="shared" si="58"/>
        <v>79</v>
      </c>
      <c r="AD28" s="9">
        <f t="shared" si="59"/>
        <v>-786481.42857170012</v>
      </c>
      <c r="AE28" s="8">
        <f t="shared" si="60"/>
        <v>-0.12167130887214277</v>
      </c>
      <c r="AG28" s="11" t="s">
        <v>13</v>
      </c>
      <c r="AH28" s="11"/>
      <c r="AI28" s="10">
        <v>867</v>
      </c>
      <c r="AJ28" s="9">
        <v>6831553.3333319807</v>
      </c>
      <c r="AK28" s="10">
        <f t="shared" si="61"/>
        <v>150</v>
      </c>
      <c r="AL28" s="9">
        <f t="shared" si="62"/>
        <v>1154050.4761903808</v>
      </c>
      <c r="AM28" s="8">
        <f t="shared" si="63"/>
        <v>0.20326726471634043</v>
      </c>
      <c r="AO28" s="11" t="s">
        <v>13</v>
      </c>
      <c r="AP28" s="11"/>
      <c r="AQ28" s="10">
        <v>689</v>
      </c>
      <c r="AR28" s="9">
        <v>5066956.1904749805</v>
      </c>
      <c r="AS28" s="10">
        <v>477</v>
      </c>
      <c r="AT28" s="9">
        <f>AR28-AJ28</f>
        <v>-1764597.1428570002</v>
      </c>
      <c r="AU28" s="8">
        <f t="shared" si="65"/>
        <v>-0.25830101248676723</v>
      </c>
      <c r="AW28" s="11" t="s">
        <v>13</v>
      </c>
      <c r="AX28" s="11"/>
      <c r="AY28" s="45">
        <v>714</v>
      </c>
      <c r="AZ28" s="45">
        <v>5699708.5714273993</v>
      </c>
      <c r="BA28" s="10">
        <f t="shared" si="66"/>
        <v>25</v>
      </c>
      <c r="BB28" s="9">
        <f t="shared" si="67"/>
        <v>632752.38095241878</v>
      </c>
      <c r="BC28" s="8">
        <f t="shared" si="68"/>
        <v>0.12487820244861918</v>
      </c>
      <c r="BE28" s="11" t="s">
        <v>13</v>
      </c>
      <c r="BF28" s="11"/>
      <c r="BG28" s="10">
        <v>630</v>
      </c>
      <c r="BH28" s="9">
        <v>4881444.2857131604</v>
      </c>
      <c r="BI28" s="10">
        <f t="shared" si="69"/>
        <v>-84</v>
      </c>
      <c r="BJ28" s="9">
        <f t="shared" si="70"/>
        <v>-818264.28571423888</v>
      </c>
      <c r="BK28" s="8">
        <f t="shared" si="71"/>
        <v>-0.14356247788109594</v>
      </c>
      <c r="BL28" s="37"/>
      <c r="BM28" s="11" t="s">
        <v>13</v>
      </c>
      <c r="BN28" s="11"/>
      <c r="BO28" s="10">
        <v>677</v>
      </c>
      <c r="BP28" s="9">
        <v>4857399.9999988796</v>
      </c>
      <c r="BQ28" s="10">
        <f t="shared" si="72"/>
        <v>47</v>
      </c>
      <c r="BR28" s="9">
        <f t="shared" si="73"/>
        <v>-24044.285714280792</v>
      </c>
      <c r="BS28" s="8">
        <f t="shared" si="74"/>
        <v>-4.9256499320606325E-3</v>
      </c>
      <c r="BU28" s="11" t="s">
        <v>13</v>
      </c>
      <c r="BV28" s="11"/>
      <c r="BW28" s="10">
        <v>519</v>
      </c>
      <c r="BX28" s="9">
        <v>3331044.2857133499</v>
      </c>
      <c r="BY28" s="10">
        <f t="shared" si="75"/>
        <v>-158</v>
      </c>
      <c r="BZ28" s="9">
        <f t="shared" si="76"/>
        <v>-1526355.7142855297</v>
      </c>
      <c r="CA28" s="8">
        <f t="shared" si="77"/>
        <v>-0.31423307001397494</v>
      </c>
      <c r="CC28" s="11" t="s">
        <v>13</v>
      </c>
      <c r="CD28" s="11"/>
      <c r="CE28" s="10">
        <v>713</v>
      </c>
      <c r="CF28" s="9">
        <v>5787848.0952368695</v>
      </c>
      <c r="CG28" s="10">
        <f t="shared" si="78"/>
        <v>194</v>
      </c>
      <c r="CH28" s="9">
        <f t="shared" si="79"/>
        <v>2456803.8095235196</v>
      </c>
      <c r="CI28" s="8">
        <f t="shared" si="80"/>
        <v>0.73754762734935841</v>
      </c>
      <c r="CK28" s="11" t="s">
        <v>13</v>
      </c>
      <c r="CL28" s="11"/>
      <c r="CM28" s="10">
        <v>813</v>
      </c>
      <c r="CN28" s="9">
        <v>7677089.5238081701</v>
      </c>
      <c r="CO28" s="10">
        <f t="shared" si="81"/>
        <v>100</v>
      </c>
      <c r="CP28" s="9">
        <f t="shared" si="82"/>
        <v>1889241.4285713006</v>
      </c>
      <c r="CQ28" s="8">
        <f t="shared" si="83"/>
        <v>0.32641517149112098</v>
      </c>
      <c r="CS28" s="11" t="s">
        <v>13</v>
      </c>
      <c r="CT28" s="11"/>
      <c r="CU28" s="10">
        <v>605</v>
      </c>
      <c r="CV28" s="9">
        <v>5734835.7142845001</v>
      </c>
      <c r="CW28" s="10">
        <f t="shared" si="84"/>
        <v>-208</v>
      </c>
      <c r="CX28" s="9">
        <f t="shared" si="85"/>
        <v>-1942253.80952367</v>
      </c>
      <c r="CY28" s="8">
        <f t="shared" si="86"/>
        <v>-0.25299350795641468</v>
      </c>
    </row>
    <row r="29" spans="1:103" s="50" customFormat="1" ht="22" customHeight="1">
      <c r="A29" s="16">
        <v>77</v>
      </c>
      <c r="B29" s="34" t="s">
        <v>45</v>
      </c>
      <c r="C29" s="47">
        <v>3078</v>
      </c>
      <c r="D29" s="1"/>
      <c r="E29" s="48"/>
      <c r="F29" s="48"/>
      <c r="G29" s="48"/>
      <c r="H29" s="1"/>
      <c r="I29" s="16">
        <v>77</v>
      </c>
      <c r="J29" s="34" t="s">
        <v>45</v>
      </c>
      <c r="K29" s="47">
        <v>1722</v>
      </c>
      <c r="L29" s="1"/>
      <c r="M29" s="12"/>
      <c r="N29" s="14"/>
      <c r="O29" s="13"/>
      <c r="P29" s="1"/>
      <c r="Q29" s="16">
        <v>77</v>
      </c>
      <c r="R29" s="34" t="s">
        <v>45</v>
      </c>
      <c r="S29" s="47">
        <v>2069</v>
      </c>
      <c r="T29" s="1"/>
      <c r="U29" s="12"/>
      <c r="V29" s="14"/>
      <c r="W29" s="13"/>
      <c r="X29" s="1"/>
      <c r="Y29" s="16">
        <v>77</v>
      </c>
      <c r="Z29" s="34" t="s">
        <v>45</v>
      </c>
      <c r="AA29" s="47">
        <v>2492</v>
      </c>
      <c r="AB29" s="1"/>
      <c r="AC29" s="12"/>
      <c r="AD29" s="14"/>
      <c r="AE29" s="13"/>
      <c r="AF29" s="1"/>
      <c r="AG29" s="16">
        <v>77</v>
      </c>
      <c r="AH29" s="34" t="s">
        <v>45</v>
      </c>
      <c r="AI29" s="47">
        <v>7254</v>
      </c>
      <c r="AJ29" s="1"/>
      <c r="AK29" s="12"/>
      <c r="AL29" s="14"/>
      <c r="AM29" s="13"/>
      <c r="AN29" s="1"/>
      <c r="AO29" s="16">
        <v>77</v>
      </c>
      <c r="AP29" s="34" t="s">
        <v>45</v>
      </c>
      <c r="AQ29" s="47">
        <v>2547</v>
      </c>
      <c r="AR29" s="1"/>
      <c r="AS29" s="12"/>
      <c r="AT29" s="14"/>
      <c r="AU29" s="13"/>
      <c r="AV29" s="1"/>
      <c r="AW29" s="16">
        <v>77</v>
      </c>
      <c r="AX29" s="34" t="s">
        <v>45</v>
      </c>
      <c r="AY29" s="47">
        <v>2062</v>
      </c>
      <c r="AZ29" s="1"/>
      <c r="BA29" s="12"/>
      <c r="BB29" s="14"/>
      <c r="BC29" s="13"/>
      <c r="BD29" s="49"/>
      <c r="BE29" s="16">
        <v>77</v>
      </c>
      <c r="BF29" s="34" t="s">
        <v>45</v>
      </c>
      <c r="BG29" s="17">
        <v>2237</v>
      </c>
      <c r="BH29" s="39"/>
      <c r="BI29" s="12"/>
      <c r="BJ29" s="14"/>
      <c r="BK29" s="13"/>
      <c r="BL29" s="49"/>
      <c r="BM29" s="16">
        <v>77</v>
      </c>
      <c r="BN29" s="34" t="s">
        <v>45</v>
      </c>
      <c r="BO29" s="17">
        <v>2924</v>
      </c>
      <c r="BP29" s="39"/>
      <c r="BQ29" s="12"/>
      <c r="BR29" s="14"/>
      <c r="BS29" s="13"/>
      <c r="BU29" s="16">
        <v>77</v>
      </c>
      <c r="BV29" s="34" t="s">
        <v>45</v>
      </c>
      <c r="BW29" s="50">
        <v>1989</v>
      </c>
      <c r="CC29" s="16">
        <v>77</v>
      </c>
      <c r="CD29" s="34" t="s">
        <v>45</v>
      </c>
      <c r="CE29" s="50">
        <v>1948</v>
      </c>
      <c r="CK29" s="16">
        <v>77</v>
      </c>
      <c r="CL29" s="34" t="s">
        <v>45</v>
      </c>
      <c r="CM29" s="50">
        <v>1937</v>
      </c>
      <c r="CS29" s="16">
        <v>77</v>
      </c>
      <c r="CT29" s="34" t="s">
        <v>45</v>
      </c>
      <c r="CU29" s="50">
        <v>2244</v>
      </c>
    </row>
    <row r="30" spans="1:103" s="17" customFormat="1" ht="22" customHeight="1">
      <c r="A30" s="16"/>
      <c r="B30" s="34" t="s">
        <v>46</v>
      </c>
      <c r="C30" s="17">
        <v>4</v>
      </c>
      <c r="D30" s="39"/>
      <c r="E30" s="40"/>
      <c r="F30" s="40"/>
      <c r="G30" s="40"/>
      <c r="I30" s="16"/>
      <c r="J30" s="34" t="s">
        <v>46</v>
      </c>
      <c r="K30" s="17">
        <v>6</v>
      </c>
      <c r="L30" s="39"/>
      <c r="M30" s="12"/>
      <c r="N30" s="14"/>
      <c r="O30" s="13"/>
      <c r="Q30" s="16"/>
      <c r="R30" s="34" t="s">
        <v>46</v>
      </c>
      <c r="S30" s="17">
        <v>4</v>
      </c>
      <c r="T30" s="39"/>
      <c r="U30" s="12"/>
      <c r="V30" s="14"/>
      <c r="W30" s="13"/>
      <c r="Y30" s="16"/>
      <c r="Z30" s="34" t="s">
        <v>46</v>
      </c>
      <c r="AA30" s="17">
        <v>2</v>
      </c>
      <c r="AB30" s="39"/>
      <c r="AC30" s="12"/>
      <c r="AD30" s="14"/>
      <c r="AE30" s="13"/>
      <c r="AG30" s="16"/>
      <c r="AH30" s="34" t="s">
        <v>46</v>
      </c>
      <c r="AI30" s="17">
        <v>8</v>
      </c>
      <c r="AJ30" s="39"/>
      <c r="AK30" s="12"/>
      <c r="AL30" s="14"/>
      <c r="AM30" s="13"/>
      <c r="AO30" s="16"/>
      <c r="AP30" s="34" t="s">
        <v>46</v>
      </c>
      <c r="AQ30" s="17">
        <v>3</v>
      </c>
      <c r="AR30" s="39"/>
      <c r="AS30" s="12"/>
      <c r="AT30" s="14"/>
      <c r="AU30" s="13"/>
      <c r="AW30" s="16"/>
      <c r="AX30" s="34" t="s">
        <v>46</v>
      </c>
      <c r="AY30" s="17">
        <v>6</v>
      </c>
      <c r="AZ30" s="39"/>
      <c r="BA30" s="12"/>
      <c r="BB30" s="14"/>
      <c r="BC30" s="13"/>
      <c r="BE30" s="16"/>
      <c r="BF30" s="34" t="s">
        <v>46</v>
      </c>
      <c r="BG30" s="17">
        <v>0</v>
      </c>
      <c r="BH30" s="39"/>
      <c r="BI30" s="12"/>
      <c r="BJ30" s="14"/>
      <c r="BK30" s="13"/>
      <c r="BM30" s="16"/>
      <c r="BN30" s="34" t="s">
        <v>46</v>
      </c>
      <c r="BO30" s="17">
        <v>4</v>
      </c>
      <c r="BP30" s="39"/>
      <c r="BQ30" s="12"/>
      <c r="BR30" s="14"/>
      <c r="BS30" s="13"/>
      <c r="BU30" s="16"/>
      <c r="BV30" s="34" t="s">
        <v>46</v>
      </c>
      <c r="BW30" s="17">
        <v>4</v>
      </c>
      <c r="CC30" s="16"/>
      <c r="CD30" s="34" t="s">
        <v>46</v>
      </c>
      <c r="CE30" s="17">
        <v>5</v>
      </c>
      <c r="CK30" s="16"/>
      <c r="CL30" s="34" t="s">
        <v>46</v>
      </c>
      <c r="CM30" s="17">
        <v>3</v>
      </c>
      <c r="CS30" s="16"/>
      <c r="CT30" s="34" t="s">
        <v>46</v>
      </c>
      <c r="CU30" s="17">
        <v>3</v>
      </c>
    </row>
    <row r="31" spans="1:103" s="12" customFormat="1" ht="20" customHeight="1">
      <c r="A31" s="42"/>
      <c r="B31" s="15" t="s">
        <v>10</v>
      </c>
      <c r="C31" s="12">
        <v>98</v>
      </c>
      <c r="D31" s="14">
        <v>99940.952380549963</v>
      </c>
      <c r="F31" s="14"/>
      <c r="G31" s="13"/>
      <c r="I31" s="42"/>
      <c r="J31" s="15" t="s">
        <v>10</v>
      </c>
      <c r="K31" s="12">
        <v>71</v>
      </c>
      <c r="L31" s="14">
        <v>76596.190475889991</v>
      </c>
      <c r="M31" s="12">
        <f t="shared" ref="M31:M40" si="87">K31-C31</f>
        <v>-27</v>
      </c>
      <c r="N31" s="14">
        <f t="shared" ref="N31:N40" si="88">L31-D31</f>
        <v>-23344.761904659972</v>
      </c>
      <c r="O31" s="13">
        <f t="shared" ref="O31:O40" si="89">(L31-D31)/D31</f>
        <v>-0.23358554575074492</v>
      </c>
      <c r="Q31" s="42"/>
      <c r="R31" s="15" t="s">
        <v>10</v>
      </c>
      <c r="S31" s="12">
        <v>69</v>
      </c>
      <c r="T31" s="14">
        <v>80285.714285449998</v>
      </c>
      <c r="U31" s="12">
        <f t="shared" ref="U31:U40" si="90">S31-K31</f>
        <v>-2</v>
      </c>
      <c r="V31" s="14">
        <f t="shared" ref="V31:V40" si="91">T31-L31</f>
        <v>3689.5238095600071</v>
      </c>
      <c r="W31" s="13">
        <f t="shared" ref="W31:W40" si="92">(T31-L31)/L31</f>
        <v>4.8168502723661563E-2</v>
      </c>
      <c r="Y31" s="42"/>
      <c r="Z31" s="15" t="s">
        <v>10</v>
      </c>
      <c r="AA31" s="12">
        <v>107</v>
      </c>
      <c r="AB31" s="14">
        <v>104055.23809484998</v>
      </c>
      <c r="AC31" s="12">
        <f t="shared" ref="AC31:AC40" si="93">AA31-S31</f>
        <v>38</v>
      </c>
      <c r="AD31" s="14">
        <f t="shared" ref="AD31:AD40" si="94">AB31-T31</f>
        <v>23769.52380939998</v>
      </c>
      <c r="AE31" s="13">
        <f t="shared" ref="AE31:AE40" si="95">(AB31-T31)/T31</f>
        <v>0.29606168445969322</v>
      </c>
      <c r="AG31" s="42"/>
      <c r="AH31" s="15" t="s">
        <v>10</v>
      </c>
      <c r="AI31" s="12">
        <v>198</v>
      </c>
      <c r="AJ31" s="14">
        <v>220409.52380878004</v>
      </c>
      <c r="AK31" s="12">
        <f t="shared" ref="AK31:AK40" si="96">AI31-AA31</f>
        <v>91</v>
      </c>
      <c r="AL31" s="14">
        <f t="shared" ref="AL31:AL40" si="97">AJ31-AB31</f>
        <v>116354.28571393006</v>
      </c>
      <c r="AM31" s="13">
        <f t="shared" ref="AM31:AM40" si="98">(AJ31-AB31)/AB31</f>
        <v>1.1181972944780452</v>
      </c>
      <c r="AO31" s="42"/>
      <c r="AP31" s="15" t="s">
        <v>10</v>
      </c>
      <c r="AQ31" s="12">
        <v>90</v>
      </c>
      <c r="AR31" s="14">
        <v>91276.190475779993</v>
      </c>
      <c r="AS31" s="12">
        <f t="shared" ref="AS31:AS40" si="99">AQ31-AI31</f>
        <v>-108</v>
      </c>
      <c r="AT31" s="14">
        <f t="shared" ref="AT31:AT40" si="100">AR31-AJ31</f>
        <v>-129133.33333300005</v>
      </c>
      <c r="AU31" s="13">
        <f t="shared" ref="AU31:AU40" si="101">(AR31-AJ31)/AJ31</f>
        <v>-0.5858790995121963</v>
      </c>
      <c r="AW31" s="42"/>
      <c r="AX31" s="15" t="s">
        <v>10</v>
      </c>
      <c r="AY31" s="12">
        <v>92</v>
      </c>
      <c r="AZ31" s="14">
        <v>105658.09523771</v>
      </c>
      <c r="BA31" s="12">
        <f t="shared" ref="BA31:BA41" si="102">AY31-AQ31</f>
        <v>2</v>
      </c>
      <c r="BB31" s="14">
        <f t="shared" ref="BB31:BB41" si="103">AZ31-AR31</f>
        <v>14381.904761930011</v>
      </c>
      <c r="BC31" s="13">
        <f t="shared" ref="BC31:BC41" si="104">(AZ31-AR31)/AR31</f>
        <v>0.15756469115290508</v>
      </c>
      <c r="BE31" s="42"/>
      <c r="BF31" s="15" t="s">
        <v>10</v>
      </c>
      <c r="BG31" s="12">
        <v>71</v>
      </c>
      <c r="BH31" s="14">
        <v>71568.571428270006</v>
      </c>
      <c r="BI31" s="12">
        <f t="shared" ref="BI31:BI41" si="105">BG31-AY31</f>
        <v>-21</v>
      </c>
      <c r="BJ31" s="14">
        <f t="shared" ref="BJ31:BJ41" si="106">BH31-AZ31</f>
        <v>-34089.523809439997</v>
      </c>
      <c r="BK31" s="13">
        <f t="shared" ref="BK31:BK41" si="107">(BH31-AZ31)/AZ31</f>
        <v>-0.3226399617818706</v>
      </c>
      <c r="BL31" s="35"/>
      <c r="BM31" s="42"/>
      <c r="BN31" s="15" t="s">
        <v>10</v>
      </c>
      <c r="BO31" s="12">
        <v>93</v>
      </c>
      <c r="BP31" s="14">
        <v>119733.33333295003</v>
      </c>
      <c r="BQ31" s="12">
        <f t="shared" ref="BQ31:BQ41" si="108">BO31-BG31</f>
        <v>22</v>
      </c>
      <c r="BR31" s="14">
        <f t="shared" ref="BR31:BR41" si="109">BP31-BH31</f>
        <v>48164.761904680025</v>
      </c>
      <c r="BS31" s="13">
        <f t="shared" ref="BS31:BS41" si="110">(BP31-BH31)/BH31</f>
        <v>0.67298761095089654</v>
      </c>
      <c r="BU31" s="42"/>
      <c r="BV31" s="15" t="s">
        <v>10</v>
      </c>
      <c r="BW31" s="12">
        <v>89</v>
      </c>
      <c r="BX31" s="14">
        <v>81579.99999960998</v>
      </c>
      <c r="BY31" s="12">
        <f t="shared" ref="BY31:BY41" si="111">BW31-BO31</f>
        <v>-4</v>
      </c>
      <c r="BZ31" s="14">
        <f t="shared" ref="BZ31:BZ40" si="112">BX31-BP31</f>
        <v>-38153.333333340051</v>
      </c>
      <c r="CA31" s="13">
        <f t="shared" ref="CA31:CA40" si="113">(BX31-BP31)/BP31</f>
        <v>-0.31865256124829222</v>
      </c>
      <c r="CC31" s="42"/>
      <c r="CD31" s="15" t="s">
        <v>10</v>
      </c>
      <c r="CE31" s="12">
        <v>82</v>
      </c>
      <c r="CF31" s="14">
        <v>76166.666666360004</v>
      </c>
      <c r="CG31" s="12">
        <f t="shared" ref="CG31:CG41" si="114">CE31-BW31</f>
        <v>-7</v>
      </c>
      <c r="CH31" s="14">
        <f t="shared" ref="CH31:CH40" si="115">CF31-BX31</f>
        <v>-5413.3333332499751</v>
      </c>
      <c r="CI31" s="13">
        <f t="shared" ref="CI31:CI40" si="116">(CF31-BX31)/BX31</f>
        <v>-6.6356133038439027E-2</v>
      </c>
      <c r="CK31" s="42"/>
      <c r="CL31" s="15" t="s">
        <v>10</v>
      </c>
      <c r="CM31" s="12">
        <v>59</v>
      </c>
      <c r="CN31" s="14">
        <v>61814.285714030018</v>
      </c>
      <c r="CO31" s="12">
        <f t="shared" ref="CO31:CO41" si="117">CM31-CE31</f>
        <v>-23</v>
      </c>
      <c r="CP31" s="14">
        <f t="shared" ref="CP31:CP40" si="118">CN31-CF31</f>
        <v>-14352.380952329986</v>
      </c>
      <c r="CQ31" s="13">
        <f t="shared" ref="CQ31:CQ40" si="119">(CN31-CF31)/CF31</f>
        <v>-0.18843388558933616</v>
      </c>
      <c r="CS31" s="42"/>
      <c r="CT31" s="15" t="s">
        <v>10</v>
      </c>
      <c r="CU31" s="12">
        <v>151</v>
      </c>
      <c r="CV31" s="14">
        <v>122759.99999959995</v>
      </c>
      <c r="CW31" s="12">
        <f t="shared" ref="CW31:CW41" si="120">CU31-CM31</f>
        <v>92</v>
      </c>
      <c r="CX31" s="14">
        <f t="shared" ref="CX31:CX40" si="121">CV31-CN31</f>
        <v>60945.714285569935</v>
      </c>
      <c r="CY31" s="13">
        <f t="shared" ref="CY31:CY40" si="122">(CV31-CN31)/CN31</f>
        <v>0.98594869424717879</v>
      </c>
    </row>
    <row r="32" spans="1:103" s="12" customFormat="1" ht="20" customHeight="1">
      <c r="A32" s="42"/>
      <c r="B32" s="15" t="s">
        <v>9</v>
      </c>
      <c r="C32" s="12">
        <v>88</v>
      </c>
      <c r="D32" s="14">
        <v>103639.04761892</v>
      </c>
      <c r="F32" s="14"/>
      <c r="G32" s="13"/>
      <c r="I32" s="42"/>
      <c r="J32" s="15" t="s">
        <v>9</v>
      </c>
      <c r="K32" s="12">
        <v>68</v>
      </c>
      <c r="L32" s="14">
        <v>73268.571428449985</v>
      </c>
      <c r="M32" s="12">
        <f t="shared" si="87"/>
        <v>-20</v>
      </c>
      <c r="N32" s="14">
        <f t="shared" si="88"/>
        <v>-30370.476190470014</v>
      </c>
      <c r="O32" s="13">
        <f t="shared" si="89"/>
        <v>-0.2930408652744671</v>
      </c>
      <c r="Q32" s="42"/>
      <c r="R32" s="15" t="s">
        <v>9</v>
      </c>
      <c r="S32" s="12">
        <v>81</v>
      </c>
      <c r="T32" s="14">
        <v>68355.238095100009</v>
      </c>
      <c r="U32" s="12">
        <f t="shared" si="90"/>
        <v>13</v>
      </c>
      <c r="V32" s="14">
        <f t="shared" si="91"/>
        <v>-4913.3333333499759</v>
      </c>
      <c r="W32" s="13">
        <f t="shared" si="92"/>
        <v>-6.7059221130687172E-2</v>
      </c>
      <c r="Y32" s="42"/>
      <c r="Z32" s="15" t="s">
        <v>9</v>
      </c>
      <c r="AA32" s="12">
        <v>107</v>
      </c>
      <c r="AB32" s="14">
        <v>103255.23809512999</v>
      </c>
      <c r="AC32" s="12">
        <f t="shared" si="93"/>
        <v>26</v>
      </c>
      <c r="AD32" s="14">
        <f t="shared" si="94"/>
        <v>34900.000000029977</v>
      </c>
      <c r="AE32" s="13">
        <f t="shared" si="95"/>
        <v>0.51056804090821761</v>
      </c>
      <c r="AG32" s="42"/>
      <c r="AH32" s="15" t="s">
        <v>9</v>
      </c>
      <c r="AI32" s="12">
        <v>201</v>
      </c>
      <c r="AJ32" s="14">
        <v>181285.71428558</v>
      </c>
      <c r="AK32" s="12">
        <f t="shared" si="96"/>
        <v>94</v>
      </c>
      <c r="AL32" s="14">
        <f t="shared" si="97"/>
        <v>78030.476190450019</v>
      </c>
      <c r="AM32" s="13">
        <f t="shared" si="98"/>
        <v>0.755704772270825</v>
      </c>
      <c r="AO32" s="42"/>
      <c r="AP32" s="15" t="s">
        <v>9</v>
      </c>
      <c r="AQ32" s="12">
        <v>108</v>
      </c>
      <c r="AR32" s="14">
        <v>111841.90476181002</v>
      </c>
      <c r="AS32" s="12">
        <f t="shared" si="99"/>
        <v>-93</v>
      </c>
      <c r="AT32" s="14">
        <f t="shared" si="100"/>
        <v>-69443.809523769989</v>
      </c>
      <c r="AU32" s="13">
        <f t="shared" si="101"/>
        <v>-0.38306277909121356</v>
      </c>
      <c r="AW32" s="42"/>
      <c r="AX32" s="15" t="s">
        <v>9</v>
      </c>
      <c r="AY32" s="12">
        <v>70</v>
      </c>
      <c r="AZ32" s="14">
        <v>62047.619047540007</v>
      </c>
      <c r="BA32" s="12">
        <f t="shared" si="102"/>
        <v>-38</v>
      </c>
      <c r="BB32" s="14">
        <f t="shared" si="103"/>
        <v>-49794.285714270009</v>
      </c>
      <c r="BC32" s="13">
        <f t="shared" si="104"/>
        <v>-0.44522029395258444</v>
      </c>
      <c r="BE32" s="42"/>
      <c r="BF32" s="15" t="s">
        <v>9</v>
      </c>
      <c r="BG32" s="12">
        <v>101</v>
      </c>
      <c r="BH32" s="14">
        <v>120622.85714276001</v>
      </c>
      <c r="BI32" s="12">
        <f t="shared" si="105"/>
        <v>31</v>
      </c>
      <c r="BJ32" s="14">
        <f t="shared" si="106"/>
        <v>58575.238095220004</v>
      </c>
      <c r="BK32" s="13">
        <f t="shared" si="107"/>
        <v>0.94403683806691252</v>
      </c>
      <c r="BL32" s="35"/>
      <c r="BM32" s="42"/>
      <c r="BN32" s="15" t="s">
        <v>9</v>
      </c>
      <c r="BO32" s="12">
        <v>92</v>
      </c>
      <c r="BP32" s="14">
        <v>133171.42857131999</v>
      </c>
      <c r="BQ32" s="12">
        <f t="shared" si="108"/>
        <v>-9</v>
      </c>
      <c r="BR32" s="14">
        <f t="shared" si="109"/>
        <v>12548.571428559982</v>
      </c>
      <c r="BS32" s="13">
        <f t="shared" si="110"/>
        <v>0.10403145577714554</v>
      </c>
      <c r="BU32" s="42"/>
      <c r="BV32" s="15" t="s">
        <v>9</v>
      </c>
      <c r="BW32" s="12">
        <v>62</v>
      </c>
      <c r="BX32" s="14">
        <v>50657.142857060011</v>
      </c>
      <c r="BY32" s="12">
        <f t="shared" si="111"/>
        <v>-30</v>
      </c>
      <c r="BZ32" s="14">
        <f t="shared" si="112"/>
        <v>-82514.285714259982</v>
      </c>
      <c r="CA32" s="13">
        <f t="shared" si="113"/>
        <v>-0.61960952585313323</v>
      </c>
      <c r="CC32" s="42"/>
      <c r="CD32" s="15" t="s">
        <v>9</v>
      </c>
      <c r="CE32" s="12">
        <v>59</v>
      </c>
      <c r="CF32" s="14">
        <v>57448.571428480012</v>
      </c>
      <c r="CG32" s="12">
        <f t="shared" si="114"/>
        <v>-3</v>
      </c>
      <c r="CH32" s="14">
        <f t="shared" si="115"/>
        <v>6791.4285714200014</v>
      </c>
      <c r="CI32" s="13">
        <f t="shared" si="116"/>
        <v>0.13406655386355826</v>
      </c>
      <c r="CK32" s="42"/>
      <c r="CL32" s="15" t="s">
        <v>9</v>
      </c>
      <c r="CM32" s="12">
        <v>114</v>
      </c>
      <c r="CN32" s="14">
        <v>108765.71428551996</v>
      </c>
      <c r="CO32" s="12">
        <f t="shared" si="117"/>
        <v>55</v>
      </c>
      <c r="CP32" s="14">
        <f t="shared" si="118"/>
        <v>51317.142857039951</v>
      </c>
      <c r="CQ32" s="13">
        <f t="shared" si="119"/>
        <v>0.89327100014883198</v>
      </c>
      <c r="CS32" s="42"/>
      <c r="CT32" s="15" t="s">
        <v>9</v>
      </c>
      <c r="CU32" s="12">
        <v>166</v>
      </c>
      <c r="CV32" s="14">
        <v>164337.14285686007</v>
      </c>
      <c r="CW32" s="12">
        <f t="shared" si="120"/>
        <v>52</v>
      </c>
      <c r="CX32" s="14">
        <f t="shared" si="121"/>
        <v>55571.428571340104</v>
      </c>
      <c r="CY32" s="13">
        <f t="shared" si="122"/>
        <v>0.51092781338667081</v>
      </c>
    </row>
    <row r="33" spans="1:103" s="12" customFormat="1" ht="20" customHeight="1">
      <c r="A33" s="16"/>
      <c r="B33" s="15" t="s">
        <v>8</v>
      </c>
      <c r="C33" s="12">
        <v>32</v>
      </c>
      <c r="D33" s="14">
        <v>183980.95238093002</v>
      </c>
      <c r="F33" s="14"/>
      <c r="G33" s="13"/>
      <c r="I33" s="16"/>
      <c r="J33" s="15" t="s">
        <v>8</v>
      </c>
      <c r="K33" s="12">
        <v>24</v>
      </c>
      <c r="L33" s="14">
        <v>146059.99999998001</v>
      </c>
      <c r="M33" s="12">
        <f t="shared" si="87"/>
        <v>-8</v>
      </c>
      <c r="N33" s="14">
        <f t="shared" si="88"/>
        <v>-37920.95238095001</v>
      </c>
      <c r="O33" s="13">
        <f t="shared" si="89"/>
        <v>-0.20611346930325267</v>
      </c>
      <c r="Q33" s="16"/>
      <c r="R33" s="15" t="s">
        <v>8</v>
      </c>
      <c r="S33" s="12">
        <v>26</v>
      </c>
      <c r="T33" s="14">
        <v>166895.23809522</v>
      </c>
      <c r="U33" s="12">
        <f t="shared" si="90"/>
        <v>2</v>
      </c>
      <c r="V33" s="14">
        <f t="shared" si="91"/>
        <v>20835.238095239998</v>
      </c>
      <c r="W33" s="13">
        <f t="shared" si="92"/>
        <v>0.14264848757526258</v>
      </c>
      <c r="Y33" s="16"/>
      <c r="Z33" s="15" t="s">
        <v>8</v>
      </c>
      <c r="AA33" s="12">
        <v>25</v>
      </c>
      <c r="AB33" s="14">
        <v>152334.28571426999</v>
      </c>
      <c r="AC33" s="12">
        <f t="shared" si="93"/>
        <v>-1</v>
      </c>
      <c r="AD33" s="14">
        <f t="shared" si="94"/>
        <v>-14560.95238095001</v>
      </c>
      <c r="AE33" s="13">
        <f t="shared" si="95"/>
        <v>-8.7246062542793698E-2</v>
      </c>
      <c r="AG33" s="16"/>
      <c r="AH33" s="15" t="s">
        <v>8</v>
      </c>
      <c r="AI33" s="12">
        <v>64</v>
      </c>
      <c r="AJ33" s="14">
        <v>372247.61904759996</v>
      </c>
      <c r="AK33" s="12">
        <f t="shared" si="96"/>
        <v>39</v>
      </c>
      <c r="AL33" s="14">
        <f t="shared" si="97"/>
        <v>219913.33333332997</v>
      </c>
      <c r="AM33" s="13">
        <f t="shared" si="98"/>
        <v>1.4436233596540209</v>
      </c>
      <c r="AO33" s="16"/>
      <c r="AP33" s="15" t="s">
        <v>8</v>
      </c>
      <c r="AQ33" s="12">
        <v>37</v>
      </c>
      <c r="AR33" s="14">
        <v>203719.99999998999</v>
      </c>
      <c r="AS33" s="12">
        <f t="shared" si="99"/>
        <v>-27</v>
      </c>
      <c r="AT33" s="14">
        <f t="shared" si="100"/>
        <v>-168527.61904760997</v>
      </c>
      <c r="AU33" s="13">
        <f t="shared" si="101"/>
        <v>-0.45272987770557116</v>
      </c>
      <c r="AW33" s="16"/>
      <c r="AX33" s="15" t="s">
        <v>8</v>
      </c>
      <c r="AY33" s="12">
        <v>16</v>
      </c>
      <c r="AZ33" s="14">
        <v>109847.61904761</v>
      </c>
      <c r="BA33" s="12">
        <f t="shared" si="102"/>
        <v>-21</v>
      </c>
      <c r="BB33" s="14">
        <f t="shared" si="103"/>
        <v>-93872.380952379986</v>
      </c>
      <c r="BC33" s="13">
        <f t="shared" si="104"/>
        <v>-0.46079118865297763</v>
      </c>
      <c r="BE33" s="16"/>
      <c r="BF33" s="15" t="s">
        <v>8</v>
      </c>
      <c r="BG33" s="12">
        <v>14</v>
      </c>
      <c r="BH33" s="14">
        <v>93867.61904759999</v>
      </c>
      <c r="BI33" s="12">
        <f t="shared" si="105"/>
        <v>-2</v>
      </c>
      <c r="BJ33" s="14">
        <f t="shared" si="106"/>
        <v>-15980.000000010012</v>
      </c>
      <c r="BK33" s="13">
        <f t="shared" si="107"/>
        <v>-0.14547425004345321</v>
      </c>
      <c r="BL33" s="35"/>
      <c r="BM33" s="16"/>
      <c r="BN33" s="15" t="s">
        <v>8</v>
      </c>
      <c r="BO33" s="12">
        <v>22</v>
      </c>
      <c r="BP33" s="14">
        <v>138361.90476189001</v>
      </c>
      <c r="BQ33" s="12">
        <f t="shared" si="108"/>
        <v>8</v>
      </c>
      <c r="BR33" s="14">
        <f t="shared" si="109"/>
        <v>44494.285714290017</v>
      </c>
      <c r="BS33" s="13">
        <f t="shared" si="110"/>
        <v>0.47401101855717781</v>
      </c>
      <c r="BU33" s="16"/>
      <c r="BV33" s="15" t="s">
        <v>8</v>
      </c>
      <c r="BW33" s="12">
        <v>23</v>
      </c>
      <c r="BX33" s="14">
        <v>132638.09523809</v>
      </c>
      <c r="BY33" s="12">
        <f t="shared" si="111"/>
        <v>1</v>
      </c>
      <c r="BZ33" s="14">
        <f t="shared" si="112"/>
        <v>-5723.8095238000096</v>
      </c>
      <c r="CA33" s="13">
        <f t="shared" si="113"/>
        <v>-4.1368392070420229E-2</v>
      </c>
      <c r="CC33" s="16"/>
      <c r="CD33" s="15" t="s">
        <v>8</v>
      </c>
      <c r="CE33" s="12">
        <v>18</v>
      </c>
      <c r="CF33" s="14">
        <v>101257.14285714</v>
      </c>
      <c r="CG33" s="12">
        <f t="shared" si="114"/>
        <v>-5</v>
      </c>
      <c r="CH33" s="14">
        <f t="shared" si="115"/>
        <v>-31380.952380949995</v>
      </c>
      <c r="CI33" s="13">
        <f t="shared" si="116"/>
        <v>-0.23659079485889853</v>
      </c>
      <c r="CK33" s="16"/>
      <c r="CL33" s="15" t="s">
        <v>8</v>
      </c>
      <c r="CM33" s="12">
        <v>20</v>
      </c>
      <c r="CN33" s="14">
        <v>129809.52380950999</v>
      </c>
      <c r="CO33" s="12">
        <f t="shared" si="117"/>
        <v>2</v>
      </c>
      <c r="CP33" s="14">
        <f t="shared" si="118"/>
        <v>28552.380952369989</v>
      </c>
      <c r="CQ33" s="13">
        <f t="shared" si="119"/>
        <v>0.28197893152736392</v>
      </c>
      <c r="CS33" s="16"/>
      <c r="CT33" s="15" t="s">
        <v>8</v>
      </c>
      <c r="CU33" s="12">
        <v>18</v>
      </c>
      <c r="CV33" s="14">
        <v>125734.28571425998</v>
      </c>
      <c r="CW33" s="12">
        <f t="shared" si="120"/>
        <v>-2</v>
      </c>
      <c r="CX33" s="14">
        <f t="shared" si="121"/>
        <v>-4075.2380952500098</v>
      </c>
      <c r="CY33" s="13">
        <f t="shared" si="122"/>
        <v>-3.1393983859229389E-2</v>
      </c>
    </row>
    <row r="34" spans="1:103" s="12" customFormat="1" ht="20" customHeight="1">
      <c r="A34" s="16"/>
      <c r="B34" s="15" t="s">
        <v>7</v>
      </c>
      <c r="C34" s="12">
        <v>31</v>
      </c>
      <c r="D34" s="14">
        <v>414998.09523802996</v>
      </c>
      <c r="F34" s="14"/>
      <c r="G34" s="13"/>
      <c r="I34" s="16"/>
      <c r="J34" s="15" t="s">
        <v>7</v>
      </c>
      <c r="K34" s="12">
        <v>22</v>
      </c>
      <c r="L34" s="14">
        <v>305038.09523802006</v>
      </c>
      <c r="M34" s="12">
        <f t="shared" si="87"/>
        <v>-9</v>
      </c>
      <c r="N34" s="14">
        <f t="shared" si="88"/>
        <v>-109960.0000000099</v>
      </c>
      <c r="O34" s="13">
        <f t="shared" si="89"/>
        <v>-0.26496507155518456</v>
      </c>
      <c r="Q34" s="16"/>
      <c r="R34" s="15" t="s">
        <v>7</v>
      </c>
      <c r="S34" s="12">
        <v>14</v>
      </c>
      <c r="T34" s="14">
        <v>202226.66666662</v>
      </c>
      <c r="U34" s="12">
        <f t="shared" si="90"/>
        <v>-8</v>
      </c>
      <c r="V34" s="14">
        <f t="shared" si="91"/>
        <v>-102811.42857140006</v>
      </c>
      <c r="W34" s="13">
        <f t="shared" si="92"/>
        <v>-0.33704455337349487</v>
      </c>
      <c r="Y34" s="16"/>
      <c r="Z34" s="15" t="s">
        <v>7</v>
      </c>
      <c r="AA34" s="12">
        <v>18</v>
      </c>
      <c r="AB34" s="14">
        <v>248266.66666660004</v>
      </c>
      <c r="AC34" s="12">
        <f t="shared" si="93"/>
        <v>4</v>
      </c>
      <c r="AD34" s="14">
        <f t="shared" si="94"/>
        <v>46039.999999980035</v>
      </c>
      <c r="AE34" s="13">
        <f t="shared" si="95"/>
        <v>0.22766532603674422</v>
      </c>
      <c r="AG34" s="16"/>
      <c r="AH34" s="15" t="s">
        <v>7</v>
      </c>
      <c r="AI34" s="12">
        <v>48</v>
      </c>
      <c r="AJ34" s="14">
        <v>569422.85714278999</v>
      </c>
      <c r="AK34" s="12">
        <f t="shared" si="96"/>
        <v>30</v>
      </c>
      <c r="AL34" s="14">
        <f t="shared" si="97"/>
        <v>321156.19047618995</v>
      </c>
      <c r="AM34" s="13">
        <f t="shared" si="98"/>
        <v>1.2935936780730779</v>
      </c>
      <c r="AO34" s="16"/>
      <c r="AP34" s="15" t="s">
        <v>7</v>
      </c>
      <c r="AQ34" s="12">
        <v>25</v>
      </c>
      <c r="AR34" s="14">
        <v>297348.57142850006</v>
      </c>
      <c r="AS34" s="12">
        <f t="shared" si="99"/>
        <v>-23</v>
      </c>
      <c r="AT34" s="14">
        <f t="shared" si="100"/>
        <v>-272074.28571428993</v>
      </c>
      <c r="AU34" s="13">
        <f t="shared" si="101"/>
        <v>-0.47780710293135259</v>
      </c>
      <c r="AW34" s="16"/>
      <c r="AX34" s="15" t="s">
        <v>7</v>
      </c>
      <c r="AY34" s="12">
        <v>16</v>
      </c>
      <c r="AZ34" s="14">
        <v>208872.38095234</v>
      </c>
      <c r="BA34" s="12">
        <f t="shared" si="102"/>
        <v>-9</v>
      </c>
      <c r="BB34" s="14">
        <f t="shared" si="103"/>
        <v>-88476.19047616006</v>
      </c>
      <c r="BC34" s="13">
        <f t="shared" si="104"/>
        <v>-0.29755041381604519</v>
      </c>
      <c r="BE34" s="16"/>
      <c r="BF34" s="15" t="s">
        <v>7</v>
      </c>
      <c r="BG34" s="12">
        <v>24</v>
      </c>
      <c r="BH34" s="14">
        <v>267203.80952375999</v>
      </c>
      <c r="BI34" s="12">
        <f t="shared" si="105"/>
        <v>8</v>
      </c>
      <c r="BJ34" s="14">
        <f t="shared" si="106"/>
        <v>58331.428571419994</v>
      </c>
      <c r="BK34" s="13">
        <f t="shared" si="107"/>
        <v>0.2792682704408388</v>
      </c>
      <c r="BL34" s="35"/>
      <c r="BM34" s="16"/>
      <c r="BN34" s="15" t="s">
        <v>7</v>
      </c>
      <c r="BO34" s="12">
        <v>18</v>
      </c>
      <c r="BP34" s="14">
        <v>245954.28571425</v>
      </c>
      <c r="BQ34" s="12">
        <f t="shared" si="108"/>
        <v>-6</v>
      </c>
      <c r="BR34" s="14">
        <f t="shared" si="109"/>
        <v>-21249.523809509992</v>
      </c>
      <c r="BS34" s="13">
        <f t="shared" si="110"/>
        <v>-7.9525527152413095E-2</v>
      </c>
      <c r="BU34" s="16"/>
      <c r="BV34" s="15" t="s">
        <v>7</v>
      </c>
      <c r="BW34" s="12">
        <v>12</v>
      </c>
      <c r="BX34" s="14">
        <v>153887.61904760002</v>
      </c>
      <c r="BY34" s="12">
        <f t="shared" si="111"/>
        <v>-6</v>
      </c>
      <c r="BZ34" s="14">
        <f t="shared" si="112"/>
        <v>-92066.66666664998</v>
      </c>
      <c r="CA34" s="13">
        <f t="shared" si="113"/>
        <v>-0.37432430339357109</v>
      </c>
      <c r="CC34" s="16"/>
      <c r="CD34" s="15" t="s">
        <v>7</v>
      </c>
      <c r="CE34" s="12">
        <v>22</v>
      </c>
      <c r="CF34" s="14">
        <v>248944.76190473</v>
      </c>
      <c r="CG34" s="12">
        <f t="shared" si="114"/>
        <v>10</v>
      </c>
      <c r="CH34" s="14">
        <f t="shared" si="115"/>
        <v>95057.142857129977</v>
      </c>
      <c r="CI34" s="13">
        <f t="shared" si="116"/>
        <v>0.61770494238218876</v>
      </c>
      <c r="CK34" s="16"/>
      <c r="CL34" s="15" t="s">
        <v>7</v>
      </c>
      <c r="CM34" s="12">
        <v>12</v>
      </c>
      <c r="CN34" s="14">
        <v>147219.04761901998</v>
      </c>
      <c r="CO34" s="12">
        <f t="shared" si="117"/>
        <v>-10</v>
      </c>
      <c r="CP34" s="14">
        <f t="shared" si="118"/>
        <v>-101725.71428571001</v>
      </c>
      <c r="CQ34" s="13">
        <f t="shared" si="119"/>
        <v>-0.40862765501625603</v>
      </c>
      <c r="CS34" s="16"/>
      <c r="CT34" s="15" t="s">
        <v>7</v>
      </c>
      <c r="CU34" s="12">
        <v>56</v>
      </c>
      <c r="CV34" s="14">
        <v>531611.42857133003</v>
      </c>
      <c r="CW34" s="12">
        <f t="shared" si="120"/>
        <v>44</v>
      </c>
      <c r="CX34" s="14">
        <f t="shared" si="121"/>
        <v>384392.38095231005</v>
      </c>
      <c r="CY34" s="13">
        <f t="shared" si="122"/>
        <v>2.6110234182947427</v>
      </c>
    </row>
    <row r="35" spans="1:103" s="12" customFormat="1" ht="20" customHeight="1">
      <c r="A35" s="16"/>
      <c r="B35" s="15" t="s">
        <v>6</v>
      </c>
      <c r="C35" s="12">
        <v>4</v>
      </c>
      <c r="D35" s="14">
        <v>11428.571428560001</v>
      </c>
      <c r="F35" s="14"/>
      <c r="G35" s="13"/>
      <c r="I35" s="16"/>
      <c r="J35" s="15" t="s">
        <v>6</v>
      </c>
      <c r="K35" s="12">
        <v>6</v>
      </c>
      <c r="L35" s="14">
        <v>23142.857142839999</v>
      </c>
      <c r="M35" s="12">
        <f t="shared" si="87"/>
        <v>2</v>
      </c>
      <c r="N35" s="14">
        <f t="shared" si="88"/>
        <v>11714.285714279999</v>
      </c>
      <c r="O35" s="13">
        <f t="shared" si="89"/>
        <v>1.0250000000005248</v>
      </c>
      <c r="Q35" s="16"/>
      <c r="R35" s="15" t="s">
        <v>6</v>
      </c>
      <c r="S35" s="12">
        <v>0</v>
      </c>
      <c r="T35" s="14">
        <v>0</v>
      </c>
      <c r="U35" s="12">
        <f t="shared" si="90"/>
        <v>-6</v>
      </c>
      <c r="V35" s="14">
        <f t="shared" si="91"/>
        <v>-23142.857142839999</v>
      </c>
      <c r="W35" s="13">
        <f t="shared" si="92"/>
        <v>-1</v>
      </c>
      <c r="Y35" s="16"/>
      <c r="Z35" s="15" t="s">
        <v>6</v>
      </c>
      <c r="AA35" s="12">
        <v>1</v>
      </c>
      <c r="AB35" s="14">
        <v>5237.1428571400002</v>
      </c>
      <c r="AC35" s="12">
        <f t="shared" si="93"/>
        <v>1</v>
      </c>
      <c r="AD35" s="14">
        <f t="shared" si="94"/>
        <v>5237.1428571400002</v>
      </c>
      <c r="AE35" s="13" t="e">
        <f t="shared" si="95"/>
        <v>#DIV/0!</v>
      </c>
      <c r="AG35" s="16"/>
      <c r="AH35" s="15" t="s">
        <v>6</v>
      </c>
      <c r="AI35" s="12">
        <v>7</v>
      </c>
      <c r="AJ35" s="14">
        <v>22379.999999990003</v>
      </c>
      <c r="AK35" s="12">
        <f t="shared" si="96"/>
        <v>6</v>
      </c>
      <c r="AL35" s="14">
        <f t="shared" si="97"/>
        <v>17142.857142850004</v>
      </c>
      <c r="AM35" s="13">
        <f t="shared" si="98"/>
        <v>3.2733224222590152</v>
      </c>
      <c r="AO35" s="16"/>
      <c r="AP35" s="15" t="s">
        <v>6</v>
      </c>
      <c r="AQ35" s="12">
        <v>4</v>
      </c>
      <c r="AR35" s="14">
        <v>23428.571428559997</v>
      </c>
      <c r="AS35" s="12">
        <f t="shared" si="99"/>
        <v>-3</v>
      </c>
      <c r="AT35" s="14">
        <f t="shared" si="100"/>
        <v>1048.5714285699942</v>
      </c>
      <c r="AU35" s="13">
        <f t="shared" si="101"/>
        <v>4.6853057576875003E-2</v>
      </c>
      <c r="AW35" s="16"/>
      <c r="AX35" s="15" t="s">
        <v>6</v>
      </c>
      <c r="AY35" s="12">
        <v>4</v>
      </c>
      <c r="AZ35" s="14">
        <v>21419.04761903</v>
      </c>
      <c r="BA35" s="12">
        <f t="shared" si="102"/>
        <v>0</v>
      </c>
      <c r="BB35" s="14">
        <f t="shared" si="103"/>
        <v>-2009.5238095299974</v>
      </c>
      <c r="BC35" s="13">
        <f t="shared" si="104"/>
        <v>-8.5772357723883197E-2</v>
      </c>
      <c r="BE35" s="16"/>
      <c r="BF35" s="15" t="s">
        <v>6</v>
      </c>
      <c r="BG35" s="12">
        <v>0</v>
      </c>
      <c r="BH35" s="14">
        <v>0</v>
      </c>
      <c r="BI35" s="12">
        <f t="shared" si="105"/>
        <v>-4</v>
      </c>
      <c r="BJ35" s="14">
        <f t="shared" si="106"/>
        <v>-21419.04761903</v>
      </c>
      <c r="BK35" s="13">
        <f t="shared" si="107"/>
        <v>-1</v>
      </c>
      <c r="BL35" s="35"/>
      <c r="BM35" s="16"/>
      <c r="BN35" s="15" t="s">
        <v>6</v>
      </c>
      <c r="BO35" s="12">
        <v>6</v>
      </c>
      <c r="BP35" s="14">
        <v>19522.857142840003</v>
      </c>
      <c r="BQ35" s="12">
        <f t="shared" si="108"/>
        <v>6</v>
      </c>
      <c r="BR35" s="14">
        <f t="shared" si="109"/>
        <v>19522.857142840003</v>
      </c>
      <c r="BS35" s="13" t="e">
        <f t="shared" si="110"/>
        <v>#DIV/0!</v>
      </c>
      <c r="BU35" s="16"/>
      <c r="BV35" s="15" t="s">
        <v>6</v>
      </c>
      <c r="BW35" s="12">
        <v>2</v>
      </c>
      <c r="BX35" s="14">
        <v>8902.8571428399991</v>
      </c>
      <c r="BY35" s="12">
        <f t="shared" si="111"/>
        <v>-4</v>
      </c>
      <c r="BZ35" s="14">
        <f t="shared" si="112"/>
        <v>-10620.000000000004</v>
      </c>
      <c r="CA35" s="13">
        <f t="shared" si="113"/>
        <v>-0.54397775501291745</v>
      </c>
      <c r="CC35" s="16"/>
      <c r="CD35" s="15" t="s">
        <v>6</v>
      </c>
      <c r="CE35" s="12">
        <v>2</v>
      </c>
      <c r="CF35" s="14">
        <v>5714.2857142800003</v>
      </c>
      <c r="CG35" s="12">
        <f t="shared" si="114"/>
        <v>0</v>
      </c>
      <c r="CH35" s="14">
        <f t="shared" si="115"/>
        <v>-3188.5714285599988</v>
      </c>
      <c r="CI35" s="13">
        <f t="shared" si="116"/>
        <v>-0.35815147625101046</v>
      </c>
      <c r="CK35" s="16"/>
      <c r="CL35" s="15" t="s">
        <v>6</v>
      </c>
      <c r="CM35" s="12">
        <v>2</v>
      </c>
      <c r="CN35" s="14">
        <v>5714.2857142800003</v>
      </c>
      <c r="CO35" s="12">
        <f t="shared" si="117"/>
        <v>0</v>
      </c>
      <c r="CP35" s="14">
        <f t="shared" si="118"/>
        <v>0</v>
      </c>
      <c r="CQ35" s="13">
        <f t="shared" si="119"/>
        <v>0</v>
      </c>
      <c r="CS35" s="16"/>
      <c r="CT35" s="15" t="s">
        <v>6</v>
      </c>
      <c r="CU35" s="12">
        <v>27</v>
      </c>
      <c r="CV35" s="14">
        <v>73280.952380900009</v>
      </c>
      <c r="CW35" s="12">
        <f t="shared" si="120"/>
        <v>25</v>
      </c>
      <c r="CX35" s="14">
        <f t="shared" si="121"/>
        <v>67566.666666620004</v>
      </c>
      <c r="CY35" s="13">
        <f t="shared" si="122"/>
        <v>11.824166666670324</v>
      </c>
    </row>
    <row r="36" spans="1:103" s="12" customFormat="1" ht="20" customHeight="1">
      <c r="A36" s="16"/>
      <c r="B36" s="15" t="s">
        <v>5</v>
      </c>
      <c r="C36" s="12">
        <v>4</v>
      </c>
      <c r="D36" s="14">
        <v>11560</v>
      </c>
      <c r="F36" s="14"/>
      <c r="G36" s="13"/>
      <c r="I36" s="16"/>
      <c r="J36" s="15" t="s">
        <v>5</v>
      </c>
      <c r="K36" s="12">
        <v>4</v>
      </c>
      <c r="L36" s="14">
        <v>14160</v>
      </c>
      <c r="M36" s="12">
        <f t="shared" si="87"/>
        <v>0</v>
      </c>
      <c r="N36" s="14">
        <f t="shared" si="88"/>
        <v>2600</v>
      </c>
      <c r="O36" s="13">
        <f t="shared" si="89"/>
        <v>0.22491349480968859</v>
      </c>
      <c r="Q36" s="16"/>
      <c r="R36" s="15" t="s">
        <v>5</v>
      </c>
      <c r="S36" s="12">
        <v>3</v>
      </c>
      <c r="T36" s="14">
        <v>14770</v>
      </c>
      <c r="U36" s="12">
        <f t="shared" si="90"/>
        <v>-1</v>
      </c>
      <c r="V36" s="14">
        <f t="shared" si="91"/>
        <v>610</v>
      </c>
      <c r="W36" s="13">
        <f t="shared" si="92"/>
        <v>4.3079096045197739E-2</v>
      </c>
      <c r="Y36" s="16"/>
      <c r="Z36" s="15" t="s">
        <v>5</v>
      </c>
      <c r="AA36" s="12">
        <v>1</v>
      </c>
      <c r="AB36" s="14">
        <v>2590</v>
      </c>
      <c r="AC36" s="12">
        <f t="shared" si="93"/>
        <v>-2</v>
      </c>
      <c r="AD36" s="14">
        <f t="shared" si="94"/>
        <v>-12180</v>
      </c>
      <c r="AE36" s="13">
        <f t="shared" si="95"/>
        <v>-0.82464454976303314</v>
      </c>
      <c r="AG36" s="16"/>
      <c r="AH36" s="15" t="s">
        <v>5</v>
      </c>
      <c r="AI36" s="12">
        <v>3</v>
      </c>
      <c r="AJ36" s="14">
        <v>12570</v>
      </c>
      <c r="AK36" s="12">
        <f t="shared" si="96"/>
        <v>2</v>
      </c>
      <c r="AL36" s="14">
        <f t="shared" si="97"/>
        <v>9980</v>
      </c>
      <c r="AM36" s="13">
        <f t="shared" si="98"/>
        <v>3.8532818532818531</v>
      </c>
      <c r="AO36" s="16"/>
      <c r="AP36" s="15" t="s">
        <v>5</v>
      </c>
      <c r="AQ36" s="12">
        <v>4</v>
      </c>
      <c r="AR36" s="14">
        <v>16260</v>
      </c>
      <c r="AS36" s="12">
        <f t="shared" si="99"/>
        <v>1</v>
      </c>
      <c r="AT36" s="14">
        <f t="shared" si="100"/>
        <v>3690</v>
      </c>
      <c r="AU36" s="13">
        <f t="shared" si="101"/>
        <v>0.2935560859188544</v>
      </c>
      <c r="AW36" s="16"/>
      <c r="AX36" s="15" t="s">
        <v>5</v>
      </c>
      <c r="AY36" s="12">
        <v>0</v>
      </c>
      <c r="AZ36" s="14">
        <v>0</v>
      </c>
      <c r="BA36" s="12">
        <f t="shared" si="102"/>
        <v>-4</v>
      </c>
      <c r="BB36" s="14">
        <f t="shared" si="103"/>
        <v>-16260</v>
      </c>
      <c r="BC36" s="13">
        <f t="shared" si="104"/>
        <v>-1</v>
      </c>
      <c r="BE36" s="16"/>
      <c r="BF36" s="15" t="s">
        <v>5</v>
      </c>
      <c r="BG36" s="12">
        <v>3</v>
      </c>
      <c r="BH36" s="14">
        <v>9270</v>
      </c>
      <c r="BI36" s="12">
        <f t="shared" si="105"/>
        <v>3</v>
      </c>
      <c r="BJ36" s="14">
        <f t="shared" si="106"/>
        <v>9270</v>
      </c>
      <c r="BK36" s="13" t="e">
        <f t="shared" si="107"/>
        <v>#DIV/0!</v>
      </c>
      <c r="BL36" s="35"/>
      <c r="BM36" s="16"/>
      <c r="BN36" s="15" t="s">
        <v>5</v>
      </c>
      <c r="BO36" s="12">
        <v>2</v>
      </c>
      <c r="BP36" s="14">
        <v>8880</v>
      </c>
      <c r="BQ36" s="12">
        <f t="shared" si="108"/>
        <v>-1</v>
      </c>
      <c r="BR36" s="14">
        <f t="shared" si="109"/>
        <v>-390</v>
      </c>
      <c r="BS36" s="13">
        <f t="shared" si="110"/>
        <v>-4.2071197411003236E-2</v>
      </c>
      <c r="BU36" s="16"/>
      <c r="BV36" s="15" t="s">
        <v>5</v>
      </c>
      <c r="BW36" s="12">
        <v>4</v>
      </c>
      <c r="BX36" s="14">
        <v>19460</v>
      </c>
      <c r="BY36" s="12">
        <f t="shared" si="111"/>
        <v>2</v>
      </c>
      <c r="BZ36" s="14">
        <f t="shared" si="112"/>
        <v>10580</v>
      </c>
      <c r="CA36" s="13">
        <f t="shared" si="113"/>
        <v>1.1914414414414414</v>
      </c>
      <c r="CC36" s="16"/>
      <c r="CD36" s="15" t="s">
        <v>5</v>
      </c>
      <c r="CE36" s="12">
        <v>5</v>
      </c>
      <c r="CF36" s="14">
        <v>25860</v>
      </c>
      <c r="CG36" s="12">
        <f t="shared" si="114"/>
        <v>1</v>
      </c>
      <c r="CH36" s="14">
        <f t="shared" si="115"/>
        <v>6400</v>
      </c>
      <c r="CI36" s="13">
        <f t="shared" si="116"/>
        <v>0.32887975334018499</v>
      </c>
      <c r="CK36" s="16"/>
      <c r="CL36" s="15" t="s">
        <v>5</v>
      </c>
      <c r="CM36" s="12">
        <v>2</v>
      </c>
      <c r="CN36" s="14">
        <v>7480</v>
      </c>
      <c r="CO36" s="12">
        <f t="shared" si="117"/>
        <v>-3</v>
      </c>
      <c r="CP36" s="14">
        <f t="shared" si="118"/>
        <v>-18380</v>
      </c>
      <c r="CQ36" s="13">
        <f t="shared" si="119"/>
        <v>-0.71075019334880118</v>
      </c>
      <c r="CS36" s="16"/>
      <c r="CT36" s="15" t="s">
        <v>5</v>
      </c>
      <c r="CU36" s="12">
        <v>2</v>
      </c>
      <c r="CV36" s="14">
        <v>4180</v>
      </c>
      <c r="CW36" s="12">
        <f t="shared" si="120"/>
        <v>0</v>
      </c>
      <c r="CX36" s="14">
        <f t="shared" si="121"/>
        <v>-3300</v>
      </c>
      <c r="CY36" s="13">
        <f t="shared" si="122"/>
        <v>-0.44117647058823528</v>
      </c>
    </row>
    <row r="37" spans="1:103" s="12" customFormat="1" ht="20" customHeight="1">
      <c r="A37" s="16"/>
      <c r="B37" s="15" t="s">
        <v>4</v>
      </c>
      <c r="C37" s="12">
        <v>0</v>
      </c>
      <c r="D37" s="14">
        <v>0</v>
      </c>
      <c r="F37" s="14"/>
      <c r="G37" s="13"/>
      <c r="I37" s="16"/>
      <c r="J37" s="15" t="s">
        <v>4</v>
      </c>
      <c r="K37" s="12">
        <v>3</v>
      </c>
      <c r="L37" s="14">
        <v>107771.42857141001</v>
      </c>
      <c r="M37" s="12">
        <f t="shared" si="87"/>
        <v>3</v>
      </c>
      <c r="N37" s="14">
        <f t="shared" si="88"/>
        <v>107771.42857141001</v>
      </c>
      <c r="O37" s="13" t="e">
        <f t="shared" si="89"/>
        <v>#DIV/0!</v>
      </c>
      <c r="Q37" s="16"/>
      <c r="R37" s="15" t="s">
        <v>4</v>
      </c>
      <c r="S37" s="12">
        <v>5</v>
      </c>
      <c r="T37" s="14">
        <v>180635.23809522</v>
      </c>
      <c r="U37" s="12">
        <f t="shared" si="90"/>
        <v>2</v>
      </c>
      <c r="V37" s="14">
        <f t="shared" si="91"/>
        <v>72863.809523809992</v>
      </c>
      <c r="W37" s="13">
        <f t="shared" si="92"/>
        <v>0.67609579356675209</v>
      </c>
      <c r="Y37" s="16"/>
      <c r="Z37" s="15" t="s">
        <v>4</v>
      </c>
      <c r="AA37" s="12">
        <v>1</v>
      </c>
      <c r="AB37" s="14">
        <v>25619.04761904</v>
      </c>
      <c r="AC37" s="12">
        <f t="shared" si="93"/>
        <v>-4</v>
      </c>
      <c r="AD37" s="14">
        <f t="shared" si="94"/>
        <v>-155016.19047618</v>
      </c>
      <c r="AE37" s="13">
        <f t="shared" si="95"/>
        <v>-0.85817248124347034</v>
      </c>
      <c r="AG37" s="16"/>
      <c r="AH37" s="15" t="s">
        <v>4</v>
      </c>
      <c r="AI37" s="12">
        <v>6</v>
      </c>
      <c r="AJ37" s="14">
        <v>239539.99999997998</v>
      </c>
      <c r="AK37" s="12">
        <f t="shared" si="96"/>
        <v>5</v>
      </c>
      <c r="AL37" s="14">
        <f t="shared" si="97"/>
        <v>213920.95238093997</v>
      </c>
      <c r="AM37" s="13">
        <f t="shared" si="98"/>
        <v>8.3500743494443785</v>
      </c>
      <c r="AO37" s="16"/>
      <c r="AP37" s="15" t="s">
        <v>4</v>
      </c>
      <c r="AQ37" s="12">
        <v>2</v>
      </c>
      <c r="AR37" s="14">
        <v>90749.523809520004</v>
      </c>
      <c r="AS37" s="12">
        <f t="shared" si="99"/>
        <v>-4</v>
      </c>
      <c r="AT37" s="14">
        <f t="shared" si="100"/>
        <v>-148790.47619045997</v>
      </c>
      <c r="AU37" s="13">
        <f t="shared" si="101"/>
        <v>-0.62115085660212244</v>
      </c>
      <c r="AW37" s="16"/>
      <c r="AX37" s="15" t="s">
        <v>4</v>
      </c>
      <c r="AY37" s="12">
        <v>3</v>
      </c>
      <c r="AZ37" s="14">
        <v>80190.476190460002</v>
      </c>
      <c r="BA37" s="12">
        <f t="shared" si="102"/>
        <v>1</v>
      </c>
      <c r="BB37" s="14">
        <f t="shared" si="103"/>
        <v>-10559.047619060002</v>
      </c>
      <c r="BC37" s="13">
        <f t="shared" si="104"/>
        <v>-0.11635375234831055</v>
      </c>
      <c r="BE37" s="16"/>
      <c r="BF37" s="15" t="s">
        <v>4</v>
      </c>
      <c r="BG37" s="12">
        <v>4</v>
      </c>
      <c r="BH37" s="14">
        <v>162473.33333332001</v>
      </c>
      <c r="BI37" s="12">
        <f t="shared" si="105"/>
        <v>1</v>
      </c>
      <c r="BJ37" s="14">
        <f t="shared" si="106"/>
        <v>82282.857142860012</v>
      </c>
      <c r="BK37" s="13">
        <f t="shared" si="107"/>
        <v>1.0260926365798153</v>
      </c>
      <c r="BL37" s="35"/>
      <c r="BM37" s="16"/>
      <c r="BN37" s="15" t="s">
        <v>4</v>
      </c>
      <c r="BO37" s="12">
        <v>4</v>
      </c>
      <c r="BP37" s="14">
        <v>152719.04761902001</v>
      </c>
      <c r="BQ37" s="12">
        <f t="shared" si="108"/>
        <v>0</v>
      </c>
      <c r="BR37" s="14">
        <f t="shared" si="109"/>
        <v>-9754.2857143000001</v>
      </c>
      <c r="BS37" s="13">
        <f t="shared" si="110"/>
        <v>-6.0036225725046979E-2</v>
      </c>
      <c r="BU37" s="16"/>
      <c r="BV37" s="15" t="s">
        <v>4</v>
      </c>
      <c r="BW37" s="12">
        <v>6</v>
      </c>
      <c r="BX37" s="14">
        <v>217025.71428568999</v>
      </c>
      <c r="BY37" s="12">
        <f t="shared" si="111"/>
        <v>2</v>
      </c>
      <c r="BZ37" s="14">
        <f t="shared" si="112"/>
        <v>64306.666666669975</v>
      </c>
      <c r="CA37" s="13">
        <f t="shared" si="113"/>
        <v>0.42107823267135841</v>
      </c>
      <c r="CC37" s="16"/>
      <c r="CD37" s="15" t="s">
        <v>4</v>
      </c>
      <c r="CE37" s="12">
        <v>7</v>
      </c>
      <c r="CF37" s="14">
        <v>238334.28571426001</v>
      </c>
      <c r="CG37" s="12">
        <f t="shared" si="114"/>
        <v>1</v>
      </c>
      <c r="CH37" s="14">
        <f t="shared" si="115"/>
        <v>21308.571428570023</v>
      </c>
      <c r="CI37" s="13">
        <f t="shared" si="116"/>
        <v>9.8184546926635988E-2</v>
      </c>
      <c r="CK37" s="16"/>
      <c r="CL37" s="15" t="s">
        <v>4</v>
      </c>
      <c r="CM37" s="12">
        <v>8</v>
      </c>
      <c r="CN37" s="14">
        <v>246314.28571425</v>
      </c>
      <c r="CO37" s="12">
        <f t="shared" si="117"/>
        <v>1</v>
      </c>
      <c r="CP37" s="14">
        <f t="shared" si="118"/>
        <v>7979.9999999899883</v>
      </c>
      <c r="CQ37" s="13">
        <f t="shared" si="119"/>
        <v>3.3482383686740079E-2</v>
      </c>
      <c r="CS37" s="16"/>
      <c r="CT37" s="15" t="s">
        <v>4</v>
      </c>
      <c r="CU37" s="12">
        <v>2</v>
      </c>
      <c r="CV37" s="14">
        <v>70728.571428569994</v>
      </c>
      <c r="CW37" s="12">
        <f t="shared" si="120"/>
        <v>-6</v>
      </c>
      <c r="CX37" s="14">
        <f t="shared" si="121"/>
        <v>-175585.71428568001</v>
      </c>
      <c r="CY37" s="13">
        <f t="shared" si="122"/>
        <v>-0.71285233731582087</v>
      </c>
    </row>
    <row r="38" spans="1:103" s="12" customFormat="1" ht="20" customHeight="1">
      <c r="A38" s="16"/>
      <c r="B38" s="15" t="s">
        <v>3</v>
      </c>
      <c r="C38" s="12">
        <v>19</v>
      </c>
      <c r="D38" s="14">
        <v>364380.95238091995</v>
      </c>
      <c r="F38" s="14"/>
      <c r="G38" s="13"/>
      <c r="I38" s="16"/>
      <c r="J38" s="15" t="s">
        <v>3</v>
      </c>
      <c r="K38" s="12">
        <v>9</v>
      </c>
      <c r="L38" s="14">
        <v>161333.33333330002</v>
      </c>
      <c r="M38" s="12">
        <f t="shared" si="87"/>
        <v>-10</v>
      </c>
      <c r="N38" s="14">
        <f t="shared" si="88"/>
        <v>-203047.61904761993</v>
      </c>
      <c r="O38" s="13">
        <f t="shared" si="89"/>
        <v>-0.55723993727135368</v>
      </c>
      <c r="Q38" s="16"/>
      <c r="R38" s="15" t="s">
        <v>3</v>
      </c>
      <c r="S38" s="12">
        <v>10</v>
      </c>
      <c r="T38" s="14">
        <v>219047.61904759001</v>
      </c>
      <c r="U38" s="12">
        <f t="shared" si="90"/>
        <v>1</v>
      </c>
      <c r="V38" s="14">
        <f t="shared" si="91"/>
        <v>57714.285714289988</v>
      </c>
      <c r="W38" s="13">
        <f t="shared" si="92"/>
        <v>0.35773317591509446</v>
      </c>
      <c r="Y38" s="16"/>
      <c r="Z38" s="15" t="s">
        <v>3</v>
      </c>
      <c r="AA38" s="12">
        <v>18</v>
      </c>
      <c r="AB38" s="14">
        <v>357904.76190470997</v>
      </c>
      <c r="AC38" s="12">
        <f t="shared" si="93"/>
        <v>8</v>
      </c>
      <c r="AD38" s="14">
        <f t="shared" si="94"/>
        <v>138857.14285711996</v>
      </c>
      <c r="AE38" s="13">
        <f t="shared" si="95"/>
        <v>0.6339130434782404</v>
      </c>
      <c r="AG38" s="16"/>
      <c r="AH38" s="15" t="s">
        <v>3</v>
      </c>
      <c r="AI38" s="12">
        <v>30</v>
      </c>
      <c r="AJ38" s="14">
        <v>523523.80952375999</v>
      </c>
      <c r="AK38" s="12">
        <f t="shared" si="96"/>
        <v>12</v>
      </c>
      <c r="AL38" s="14">
        <f t="shared" si="97"/>
        <v>165619.04761905002</v>
      </c>
      <c r="AM38" s="13">
        <f t="shared" si="98"/>
        <v>0.46274614156473592</v>
      </c>
      <c r="AO38" s="16"/>
      <c r="AP38" s="15" t="s">
        <v>3</v>
      </c>
      <c r="AQ38" s="12">
        <v>23</v>
      </c>
      <c r="AR38" s="14">
        <v>449999.99999993003</v>
      </c>
      <c r="AS38" s="12">
        <f t="shared" si="99"/>
        <v>-7</v>
      </c>
      <c r="AT38" s="14">
        <f t="shared" si="100"/>
        <v>-73523.809523829957</v>
      </c>
      <c r="AU38" s="13">
        <f t="shared" si="101"/>
        <v>-0.14044024013103285</v>
      </c>
      <c r="AW38" s="16"/>
      <c r="AX38" s="15" t="s">
        <v>3</v>
      </c>
      <c r="AY38" s="12">
        <v>16</v>
      </c>
      <c r="AZ38" s="14">
        <v>292476.19047614001</v>
      </c>
      <c r="BA38" s="12">
        <f t="shared" si="102"/>
        <v>-7</v>
      </c>
      <c r="BB38" s="14">
        <f t="shared" si="103"/>
        <v>-157523.80952379003</v>
      </c>
      <c r="BC38" s="13">
        <f t="shared" si="104"/>
        <v>-0.35005291005292116</v>
      </c>
      <c r="BE38" s="16"/>
      <c r="BF38" s="15" t="s">
        <v>3</v>
      </c>
      <c r="BG38" s="12">
        <v>12</v>
      </c>
      <c r="BH38" s="14">
        <v>255142.85714282002</v>
      </c>
      <c r="BI38" s="12">
        <f t="shared" si="105"/>
        <v>-4</v>
      </c>
      <c r="BJ38" s="14">
        <f t="shared" si="106"/>
        <v>-37333.333333319984</v>
      </c>
      <c r="BK38" s="13">
        <f t="shared" si="107"/>
        <v>-0.12764571800714017</v>
      </c>
      <c r="BL38" s="35"/>
      <c r="BM38" s="16"/>
      <c r="BN38" s="15" t="s">
        <v>3</v>
      </c>
      <c r="BO38" s="12">
        <v>11</v>
      </c>
      <c r="BP38" s="14">
        <v>221428.57142853999</v>
      </c>
      <c r="BQ38" s="12">
        <f t="shared" si="108"/>
        <v>-1</v>
      </c>
      <c r="BR38" s="14">
        <f t="shared" si="109"/>
        <v>-33714.285714280035</v>
      </c>
      <c r="BS38" s="13">
        <f t="shared" si="110"/>
        <v>-0.13213885778275172</v>
      </c>
      <c r="BU38" s="16"/>
      <c r="BV38" s="15" t="s">
        <v>3</v>
      </c>
      <c r="BW38" s="12">
        <v>4</v>
      </c>
      <c r="BX38" s="14">
        <v>83238.095238089998</v>
      </c>
      <c r="BY38" s="12">
        <f t="shared" si="111"/>
        <v>-7</v>
      </c>
      <c r="BZ38" s="14">
        <f t="shared" si="112"/>
        <v>-138190.47619044999</v>
      </c>
      <c r="CA38" s="13">
        <f t="shared" si="113"/>
        <v>-0.62408602150534664</v>
      </c>
      <c r="CC38" s="16"/>
      <c r="CD38" s="15" t="s">
        <v>3</v>
      </c>
      <c r="CE38" s="12">
        <v>15</v>
      </c>
      <c r="CF38" s="14">
        <v>218380.95238090999</v>
      </c>
      <c r="CG38" s="12">
        <f t="shared" si="114"/>
        <v>11</v>
      </c>
      <c r="CH38" s="14">
        <f t="shared" si="115"/>
        <v>135142.85714281999</v>
      </c>
      <c r="CI38" s="13">
        <f t="shared" si="116"/>
        <v>1.6235697940499991</v>
      </c>
      <c r="CK38" s="16"/>
      <c r="CL38" s="15" t="s">
        <v>3</v>
      </c>
      <c r="CM38" s="12">
        <v>12</v>
      </c>
      <c r="CN38" s="14">
        <v>211714.28571425</v>
      </c>
      <c r="CO38" s="12">
        <f t="shared" si="117"/>
        <v>-3</v>
      </c>
      <c r="CP38" s="14">
        <f t="shared" si="118"/>
        <v>-6666.6666666599922</v>
      </c>
      <c r="CQ38" s="13">
        <f t="shared" si="119"/>
        <v>-3.0527692978605976E-2</v>
      </c>
      <c r="CS38" s="16"/>
      <c r="CT38" s="15" t="s">
        <v>3</v>
      </c>
      <c r="CU38" s="12">
        <v>59</v>
      </c>
      <c r="CV38" s="14">
        <v>591485.71428559988</v>
      </c>
      <c r="CW38" s="12">
        <f t="shared" si="120"/>
        <v>47</v>
      </c>
      <c r="CX38" s="14">
        <f t="shared" si="121"/>
        <v>379771.42857134988</v>
      </c>
      <c r="CY38" s="13">
        <f t="shared" si="122"/>
        <v>1.7937921727394721</v>
      </c>
    </row>
    <row r="39" spans="1:103" s="12" customFormat="1" ht="20" customHeight="1">
      <c r="A39" s="16"/>
      <c r="B39" s="15" t="s">
        <v>2</v>
      </c>
      <c r="C39" s="12">
        <v>23</v>
      </c>
      <c r="D39" s="14">
        <v>873999.99999993993</v>
      </c>
      <c r="F39" s="14"/>
      <c r="G39" s="13"/>
      <c r="I39" s="16"/>
      <c r="J39" s="15" t="s">
        <v>2</v>
      </c>
      <c r="K39" s="12">
        <v>14</v>
      </c>
      <c r="L39" s="14">
        <v>576083.80952374998</v>
      </c>
      <c r="M39" s="12">
        <f t="shared" si="87"/>
        <v>-9</v>
      </c>
      <c r="N39" s="14">
        <f t="shared" si="88"/>
        <v>-297916.19047618995</v>
      </c>
      <c r="O39" s="13">
        <f t="shared" si="89"/>
        <v>-0.34086520649451996</v>
      </c>
      <c r="Q39" s="16"/>
      <c r="R39" s="15" t="s">
        <v>2</v>
      </c>
      <c r="S39" s="12">
        <v>22</v>
      </c>
      <c r="T39" s="14">
        <v>852190.4761904201</v>
      </c>
      <c r="U39" s="12">
        <f t="shared" si="90"/>
        <v>8</v>
      </c>
      <c r="V39" s="14">
        <f t="shared" si="91"/>
        <v>276106.66666667012</v>
      </c>
      <c r="W39" s="13">
        <f t="shared" si="92"/>
        <v>0.47928211503622753</v>
      </c>
      <c r="Y39" s="16"/>
      <c r="Z39" s="15" t="s">
        <v>2</v>
      </c>
      <c r="AA39" s="12">
        <v>18</v>
      </c>
      <c r="AB39" s="14">
        <v>658383.8095237501</v>
      </c>
      <c r="AC39" s="12">
        <f t="shared" si="93"/>
        <v>-4</v>
      </c>
      <c r="AD39" s="14">
        <f t="shared" si="94"/>
        <v>-193806.66666667</v>
      </c>
      <c r="AE39" s="13">
        <f t="shared" si="95"/>
        <v>-0.22742177022800278</v>
      </c>
      <c r="AG39" s="16"/>
      <c r="AH39" s="15" t="s">
        <v>2</v>
      </c>
      <c r="AI39" s="12">
        <v>44</v>
      </c>
      <c r="AJ39" s="14">
        <v>1468157.1428570203</v>
      </c>
      <c r="AK39" s="12">
        <f t="shared" si="96"/>
        <v>26</v>
      </c>
      <c r="AL39" s="14">
        <f t="shared" si="97"/>
        <v>809773.33333327016</v>
      </c>
      <c r="AM39" s="13">
        <f t="shared" si="98"/>
        <v>1.2299411401368292</v>
      </c>
      <c r="AO39" s="16"/>
      <c r="AP39" s="15" t="s">
        <v>2</v>
      </c>
      <c r="AQ39" s="12">
        <v>20</v>
      </c>
      <c r="AR39" s="14">
        <v>672788.57142851991</v>
      </c>
      <c r="AS39" s="12">
        <f t="shared" si="99"/>
        <v>-24</v>
      </c>
      <c r="AT39" s="14">
        <f t="shared" si="100"/>
        <v>-795368.57142850035</v>
      </c>
      <c r="AU39" s="13">
        <f t="shared" si="101"/>
        <v>-0.5417462124529262</v>
      </c>
      <c r="AW39" s="16"/>
      <c r="AX39" s="15" t="s">
        <v>2</v>
      </c>
      <c r="AY39" s="12">
        <v>11</v>
      </c>
      <c r="AZ39" s="14">
        <v>420845.71428568999</v>
      </c>
      <c r="BA39" s="12">
        <f t="shared" si="102"/>
        <v>-9</v>
      </c>
      <c r="BB39" s="14">
        <f t="shared" si="103"/>
        <v>-251942.85714282992</v>
      </c>
      <c r="BC39" s="13">
        <f t="shared" si="104"/>
        <v>-0.37447553041497744</v>
      </c>
      <c r="BE39" s="16"/>
      <c r="BF39" s="15" t="s">
        <v>2</v>
      </c>
      <c r="BG39" s="12">
        <v>14</v>
      </c>
      <c r="BH39" s="14">
        <v>466251.42857137998</v>
      </c>
      <c r="BI39" s="12">
        <f t="shared" si="105"/>
        <v>3</v>
      </c>
      <c r="BJ39" s="14">
        <f t="shared" si="106"/>
        <v>45405.714285689988</v>
      </c>
      <c r="BK39" s="13">
        <f t="shared" si="107"/>
        <v>0.10789159243966172</v>
      </c>
      <c r="BL39" s="35"/>
      <c r="BM39" s="16"/>
      <c r="BN39" s="15" t="s">
        <v>2</v>
      </c>
      <c r="BO39" s="12">
        <v>22</v>
      </c>
      <c r="BP39" s="14">
        <v>736464.76190469996</v>
      </c>
      <c r="BQ39" s="12">
        <f t="shared" si="108"/>
        <v>8</v>
      </c>
      <c r="BR39" s="14">
        <f t="shared" si="109"/>
        <v>270213.33333331998</v>
      </c>
      <c r="BS39" s="13">
        <f t="shared" si="110"/>
        <v>0.57954424753457268</v>
      </c>
      <c r="BU39" s="16"/>
      <c r="BV39" s="15" t="s">
        <v>2</v>
      </c>
      <c r="BW39" s="12">
        <v>25</v>
      </c>
      <c r="BX39" s="14">
        <v>706190.47619039984</v>
      </c>
      <c r="BY39" s="12">
        <f t="shared" si="111"/>
        <v>3</v>
      </c>
      <c r="BZ39" s="14">
        <f t="shared" si="112"/>
        <v>-30274.285714300117</v>
      </c>
      <c r="CA39" s="13">
        <f t="shared" si="113"/>
        <v>-4.1107582168632896E-2</v>
      </c>
      <c r="CC39" s="16"/>
      <c r="CD39" s="15" t="s">
        <v>2</v>
      </c>
      <c r="CE39" s="12">
        <v>20</v>
      </c>
      <c r="CF39" s="14">
        <v>700098.09523802996</v>
      </c>
      <c r="CG39" s="12">
        <f t="shared" si="114"/>
        <v>-5</v>
      </c>
      <c r="CH39" s="14">
        <f t="shared" si="115"/>
        <v>-6092.3809523698874</v>
      </c>
      <c r="CI39" s="13">
        <f t="shared" si="116"/>
        <v>-8.6271072150897812E-3</v>
      </c>
      <c r="CK39" s="16"/>
      <c r="CL39" s="15" t="s">
        <v>2</v>
      </c>
      <c r="CM39" s="12">
        <v>17</v>
      </c>
      <c r="CN39" s="14">
        <v>577526.66666659992</v>
      </c>
      <c r="CO39" s="12">
        <f t="shared" si="117"/>
        <v>-3</v>
      </c>
      <c r="CP39" s="14">
        <f t="shared" si="118"/>
        <v>-122571.42857143003</v>
      </c>
      <c r="CQ39" s="13">
        <f t="shared" si="119"/>
        <v>-0.17507750614541573</v>
      </c>
      <c r="CS39" s="16"/>
      <c r="CT39" s="15" t="s">
        <v>2</v>
      </c>
      <c r="CU39" s="12">
        <v>40</v>
      </c>
      <c r="CV39" s="14">
        <v>713060.95238081994</v>
      </c>
      <c r="CW39" s="12">
        <f t="shared" si="120"/>
        <v>23</v>
      </c>
      <c r="CX39" s="14">
        <f t="shared" si="121"/>
        <v>135534.28571422002</v>
      </c>
      <c r="CY39" s="13">
        <f t="shared" si="122"/>
        <v>0.23468056721346608</v>
      </c>
    </row>
    <row r="40" spans="1:103" s="1" customFormat="1" ht="20" customHeight="1">
      <c r="A40" s="11" t="s">
        <v>12</v>
      </c>
      <c r="B40" s="11"/>
      <c r="C40" s="10">
        <v>299</v>
      </c>
      <c r="D40" s="9">
        <v>2063928.5714278496</v>
      </c>
      <c r="E40" s="29"/>
      <c r="F40" s="30"/>
      <c r="G40" s="31"/>
      <c r="I40" s="11" t="s">
        <v>12</v>
      </c>
      <c r="J40" s="11"/>
      <c r="K40" s="10">
        <v>221</v>
      </c>
      <c r="L40" s="9">
        <v>1483454.28571364</v>
      </c>
      <c r="M40" s="10">
        <f t="shared" si="87"/>
        <v>-78</v>
      </c>
      <c r="N40" s="9">
        <f t="shared" si="88"/>
        <v>-580474.28571420955</v>
      </c>
      <c r="O40" s="8">
        <f t="shared" si="89"/>
        <v>-0.28124727461504673</v>
      </c>
      <c r="Q40" s="11" t="s">
        <v>12</v>
      </c>
      <c r="R40" s="11"/>
      <c r="S40" s="10">
        <v>230</v>
      </c>
      <c r="T40" s="9">
        <v>1784406.1904756201</v>
      </c>
      <c r="U40" s="10">
        <f t="shared" si="90"/>
        <v>9</v>
      </c>
      <c r="V40" s="9">
        <f t="shared" si="91"/>
        <v>300951.90476198005</v>
      </c>
      <c r="W40" s="8">
        <f t="shared" si="92"/>
        <v>0.2028723821558156</v>
      </c>
      <c r="Y40" s="11" t="s">
        <v>12</v>
      </c>
      <c r="Z40" s="11"/>
      <c r="AA40" s="10">
        <v>296</v>
      </c>
      <c r="AB40" s="9">
        <v>1657646.1904754902</v>
      </c>
      <c r="AC40" s="10">
        <f t="shared" si="93"/>
        <v>66</v>
      </c>
      <c r="AD40" s="9">
        <f t="shared" si="94"/>
        <v>-126760.00000012992</v>
      </c>
      <c r="AE40" s="8">
        <f t="shared" si="95"/>
        <v>-7.1037637437439613E-2</v>
      </c>
      <c r="AG40" s="11" t="s">
        <v>12</v>
      </c>
      <c r="AH40" s="11"/>
      <c r="AI40" s="10">
        <v>601</v>
      </c>
      <c r="AJ40" s="9">
        <v>3609536.6666655</v>
      </c>
      <c r="AK40" s="10">
        <f t="shared" si="96"/>
        <v>305</v>
      </c>
      <c r="AL40" s="9">
        <f t="shared" si="97"/>
        <v>1951890.4761900099</v>
      </c>
      <c r="AM40" s="8">
        <f t="shared" si="98"/>
        <v>1.1775072916073344</v>
      </c>
      <c r="AO40" s="11" t="s">
        <v>12</v>
      </c>
      <c r="AP40" s="11"/>
      <c r="AQ40" s="10">
        <v>313</v>
      </c>
      <c r="AR40" s="9">
        <v>1957413.3333326101</v>
      </c>
      <c r="AS40" s="10">
        <f t="shared" si="99"/>
        <v>-288</v>
      </c>
      <c r="AT40" s="9">
        <f t="shared" si="100"/>
        <v>-1652123.3333328899</v>
      </c>
      <c r="AU40" s="8">
        <f t="shared" si="101"/>
        <v>-0.45771063876160206</v>
      </c>
      <c r="AW40" s="11" t="s">
        <v>12</v>
      </c>
      <c r="AX40" s="11"/>
      <c r="AY40" s="10">
        <v>228</v>
      </c>
      <c r="AZ40" s="9">
        <v>1301357.1428565201</v>
      </c>
      <c r="BA40" s="10">
        <f t="shared" si="102"/>
        <v>-85</v>
      </c>
      <c r="BB40" s="9">
        <f t="shared" si="103"/>
        <v>-656056.19047608995</v>
      </c>
      <c r="BC40" s="8">
        <f t="shared" si="104"/>
        <v>-0.33516487259188948</v>
      </c>
      <c r="BE40" s="11" t="s">
        <v>12</v>
      </c>
      <c r="BF40" s="11"/>
      <c r="BG40" s="10">
        <v>243</v>
      </c>
      <c r="BH40" s="9">
        <v>1446400.47618991</v>
      </c>
      <c r="BI40" s="10">
        <f t="shared" si="105"/>
        <v>15</v>
      </c>
      <c r="BJ40" s="9">
        <f t="shared" si="106"/>
        <v>145043.33333338983</v>
      </c>
      <c r="BK40" s="8">
        <f t="shared" si="107"/>
        <v>0.11145544029136777</v>
      </c>
      <c r="BL40" s="37"/>
      <c r="BM40" s="11" t="s">
        <v>12</v>
      </c>
      <c r="BN40" s="11"/>
      <c r="BO40" s="10">
        <v>270</v>
      </c>
      <c r="BP40" s="9">
        <v>1776236.19047551</v>
      </c>
      <c r="BQ40" s="10">
        <f t="shared" si="108"/>
        <v>27</v>
      </c>
      <c r="BR40" s="9">
        <f t="shared" si="109"/>
        <v>329835.7142856</v>
      </c>
      <c r="BS40" s="8">
        <f t="shared" si="110"/>
        <v>0.22803899730069857</v>
      </c>
      <c r="BU40" s="11" t="s">
        <v>12</v>
      </c>
      <c r="BV40" s="11"/>
      <c r="BW40" s="10">
        <v>227</v>
      </c>
      <c r="BX40" s="9">
        <v>1453579.9999993797</v>
      </c>
      <c r="BY40" s="10">
        <f t="shared" si="111"/>
        <v>-43</v>
      </c>
      <c r="BZ40" s="9">
        <f t="shared" si="112"/>
        <v>-322656.19047613023</v>
      </c>
      <c r="CA40" s="8">
        <f t="shared" si="113"/>
        <v>-0.18165162505204507</v>
      </c>
      <c r="CC40" s="11" t="s">
        <v>12</v>
      </c>
      <c r="CD40" s="11"/>
      <c r="CE40" s="10">
        <v>230</v>
      </c>
      <c r="CF40" s="9">
        <v>1672204.7619041901</v>
      </c>
      <c r="CG40" s="10">
        <f t="shared" si="114"/>
        <v>3</v>
      </c>
      <c r="CH40" s="9">
        <f t="shared" si="115"/>
        <v>218624.76190481032</v>
      </c>
      <c r="CI40" s="8">
        <f t="shared" si="116"/>
        <v>0.15040435470005339</v>
      </c>
      <c r="CK40" s="11" t="s">
        <v>12</v>
      </c>
      <c r="CL40" s="11"/>
      <c r="CM40" s="10">
        <v>246</v>
      </c>
      <c r="CN40" s="9">
        <v>1496358.09523746</v>
      </c>
      <c r="CO40" s="10">
        <f t="shared" si="117"/>
        <v>16</v>
      </c>
      <c r="CP40" s="9">
        <f t="shared" si="118"/>
        <v>-175846.66666673007</v>
      </c>
      <c r="CQ40" s="8">
        <f t="shared" si="119"/>
        <v>-0.10515857308436807</v>
      </c>
      <c r="CS40" s="11" t="s">
        <v>12</v>
      </c>
      <c r="CT40" s="11"/>
      <c r="CU40" s="10">
        <v>521</v>
      </c>
      <c r="CV40" s="9">
        <v>2397179.0476179402</v>
      </c>
      <c r="CW40" s="10">
        <f t="shared" si="120"/>
        <v>275</v>
      </c>
      <c r="CX40" s="9">
        <f t="shared" si="121"/>
        <v>900820.95238048024</v>
      </c>
      <c r="CY40" s="8">
        <f t="shared" si="122"/>
        <v>0.60200894107337799</v>
      </c>
    </row>
    <row r="41" spans="1:103" s="50" customFormat="1" ht="22" customHeight="1">
      <c r="A41" s="16">
        <v>81</v>
      </c>
      <c r="B41" s="34" t="s">
        <v>45</v>
      </c>
      <c r="C41" s="47">
        <v>1692</v>
      </c>
      <c r="D41" s="1"/>
      <c r="E41" s="48"/>
      <c r="F41" s="48"/>
      <c r="G41" s="48"/>
      <c r="H41" s="1"/>
      <c r="I41" s="16">
        <v>81</v>
      </c>
      <c r="J41" s="34" t="s">
        <v>45</v>
      </c>
      <c r="K41" s="47">
        <v>1346</v>
      </c>
      <c r="L41" s="1"/>
      <c r="M41" s="12"/>
      <c r="N41" s="14"/>
      <c r="O41" s="13"/>
      <c r="P41" s="1"/>
      <c r="Q41" s="16">
        <v>81</v>
      </c>
      <c r="R41" s="34" t="s">
        <v>45</v>
      </c>
      <c r="S41" s="47">
        <v>1415</v>
      </c>
      <c r="T41" s="1"/>
      <c r="U41" s="12"/>
      <c r="V41" s="14"/>
      <c r="W41" s="13"/>
      <c r="X41" s="1"/>
      <c r="Y41" s="16">
        <v>81</v>
      </c>
      <c r="Z41" s="34" t="s">
        <v>45</v>
      </c>
      <c r="AA41" s="47">
        <v>1830</v>
      </c>
      <c r="AB41" s="1"/>
      <c r="AC41" s="12"/>
      <c r="AD41" s="14"/>
      <c r="AE41" s="13"/>
      <c r="AF41" s="1"/>
      <c r="AG41" s="16">
        <v>81</v>
      </c>
      <c r="AH41" s="34" t="s">
        <v>45</v>
      </c>
      <c r="AI41" s="47">
        <v>3707</v>
      </c>
      <c r="AJ41" s="1"/>
      <c r="AK41" s="12"/>
      <c r="AL41" s="14"/>
      <c r="AM41" s="13"/>
      <c r="AN41" s="1"/>
      <c r="AO41" s="16">
        <v>81</v>
      </c>
      <c r="AP41" s="34" t="s">
        <v>45</v>
      </c>
      <c r="AQ41" s="47">
        <v>1643</v>
      </c>
      <c r="AR41" s="1"/>
      <c r="AS41" s="12"/>
      <c r="AT41" s="14"/>
      <c r="AU41" s="13"/>
      <c r="AV41" s="1"/>
      <c r="AW41" s="16">
        <v>81</v>
      </c>
      <c r="AX41" s="34" t="s">
        <v>45</v>
      </c>
      <c r="AY41" s="47">
        <v>1379</v>
      </c>
      <c r="AZ41" s="1"/>
      <c r="BA41" s="12">
        <f t="shared" si="102"/>
        <v>-264</v>
      </c>
      <c r="BB41" s="14">
        <f t="shared" si="103"/>
        <v>0</v>
      </c>
      <c r="BC41" s="13" t="e">
        <f t="shared" si="104"/>
        <v>#DIV/0!</v>
      </c>
      <c r="BD41" s="49"/>
      <c r="BE41" s="16">
        <v>81</v>
      </c>
      <c r="BF41" s="34" t="s">
        <v>45</v>
      </c>
      <c r="BG41" s="17">
        <v>1333</v>
      </c>
      <c r="BH41" s="39"/>
      <c r="BI41" s="12">
        <f t="shared" si="105"/>
        <v>-46</v>
      </c>
      <c r="BJ41" s="14">
        <f t="shared" si="106"/>
        <v>0</v>
      </c>
      <c r="BK41" s="13" t="e">
        <f t="shared" si="107"/>
        <v>#DIV/0!</v>
      </c>
      <c r="BL41" s="49"/>
      <c r="BM41" s="16">
        <v>81</v>
      </c>
      <c r="BN41" s="34" t="s">
        <v>45</v>
      </c>
      <c r="BO41" s="17">
        <v>1656</v>
      </c>
      <c r="BP41" s="39"/>
      <c r="BQ41" s="12">
        <f t="shared" si="108"/>
        <v>323</v>
      </c>
      <c r="BR41" s="14">
        <f t="shared" si="109"/>
        <v>0</v>
      </c>
      <c r="BS41" s="13" t="e">
        <f t="shared" si="110"/>
        <v>#DIV/0!</v>
      </c>
      <c r="BU41" s="16">
        <v>81</v>
      </c>
      <c r="BV41" s="34" t="s">
        <v>45</v>
      </c>
      <c r="BW41" s="50">
        <v>1516</v>
      </c>
      <c r="BY41" s="50">
        <f t="shared" si="111"/>
        <v>-140</v>
      </c>
      <c r="CC41" s="16">
        <v>81</v>
      </c>
      <c r="CD41" s="34" t="s">
        <v>45</v>
      </c>
      <c r="CE41" s="50">
        <v>1403</v>
      </c>
      <c r="CG41" s="50">
        <f t="shared" si="114"/>
        <v>-113</v>
      </c>
      <c r="CK41" s="16">
        <v>81</v>
      </c>
      <c r="CL41" s="34" t="s">
        <v>45</v>
      </c>
      <c r="CM41" s="50">
        <v>1199</v>
      </c>
      <c r="CO41" s="50">
        <f t="shared" si="117"/>
        <v>-204</v>
      </c>
      <c r="CS41" s="16">
        <v>81</v>
      </c>
      <c r="CT41" s="34" t="s">
        <v>45</v>
      </c>
      <c r="CU41" s="50">
        <v>1063</v>
      </c>
      <c r="CW41" s="50">
        <f t="shared" si="120"/>
        <v>-136</v>
      </c>
    </row>
    <row r="42" spans="1:103" s="17" customFormat="1" ht="22" customHeight="1">
      <c r="A42" s="16"/>
      <c r="B42" s="34" t="s">
        <v>46</v>
      </c>
      <c r="C42" s="17">
        <v>5</v>
      </c>
      <c r="D42" s="39"/>
      <c r="E42" s="40"/>
      <c r="F42" s="40"/>
      <c r="G42" s="40"/>
      <c r="I42" s="16"/>
      <c r="J42" s="34" t="s">
        <v>46</v>
      </c>
      <c r="K42" s="17">
        <v>5</v>
      </c>
      <c r="L42" s="39"/>
      <c r="M42" s="12"/>
      <c r="N42" s="14"/>
      <c r="O42" s="13"/>
      <c r="Q42" s="16"/>
      <c r="R42" s="34" t="s">
        <v>46</v>
      </c>
      <c r="S42" s="17">
        <v>2</v>
      </c>
      <c r="T42" s="39"/>
      <c r="U42" s="12"/>
      <c r="V42" s="14"/>
      <c r="W42" s="13"/>
      <c r="Y42" s="16"/>
      <c r="Z42" s="34" t="s">
        <v>46</v>
      </c>
      <c r="AA42" s="17">
        <v>10</v>
      </c>
      <c r="AB42" s="39"/>
      <c r="AC42" s="12"/>
      <c r="AD42" s="14"/>
      <c r="AE42" s="13"/>
      <c r="AG42" s="16"/>
      <c r="AH42" s="34" t="s">
        <v>46</v>
      </c>
      <c r="AI42" s="17">
        <v>21</v>
      </c>
      <c r="AJ42" s="39"/>
      <c r="AK42" s="12"/>
      <c r="AL42" s="14"/>
      <c r="AM42" s="13"/>
      <c r="AO42" s="16"/>
      <c r="AP42" s="34" t="s">
        <v>46</v>
      </c>
      <c r="AQ42" s="17">
        <v>8</v>
      </c>
      <c r="AR42" s="39"/>
      <c r="AS42" s="12"/>
      <c r="AT42" s="14"/>
      <c r="AU42" s="13"/>
      <c r="AW42" s="16"/>
      <c r="AX42" s="34" t="s">
        <v>46</v>
      </c>
      <c r="AY42" s="17">
        <v>0</v>
      </c>
      <c r="AZ42" s="39"/>
      <c r="BA42" s="12"/>
      <c r="BB42" s="14"/>
      <c r="BC42" s="13"/>
      <c r="BE42" s="16"/>
      <c r="BF42" s="34" t="s">
        <v>46</v>
      </c>
      <c r="BG42" s="17">
        <v>4</v>
      </c>
      <c r="BH42" s="39"/>
      <c r="BI42" s="12"/>
      <c r="BJ42" s="14"/>
      <c r="BK42" s="13"/>
      <c r="BM42" s="16"/>
      <c r="BN42" s="34" t="s">
        <v>46</v>
      </c>
      <c r="BO42" s="17">
        <v>4</v>
      </c>
      <c r="BP42" s="39"/>
      <c r="BQ42" s="12"/>
      <c r="BR42" s="14"/>
      <c r="BS42" s="13"/>
      <c r="BU42" s="16"/>
      <c r="BV42" s="34" t="s">
        <v>46</v>
      </c>
      <c r="BW42" s="17">
        <v>5</v>
      </c>
      <c r="CC42" s="16"/>
      <c r="CD42" s="34" t="s">
        <v>46</v>
      </c>
      <c r="CE42" s="17">
        <v>4</v>
      </c>
      <c r="CK42" s="16"/>
      <c r="CL42" s="34" t="s">
        <v>46</v>
      </c>
      <c r="CM42" s="17">
        <v>0</v>
      </c>
      <c r="CS42" s="16"/>
      <c r="CT42" s="34" t="s">
        <v>46</v>
      </c>
      <c r="CU42" s="17">
        <v>0</v>
      </c>
    </row>
    <row r="43" spans="1:103" s="12" customFormat="1" ht="20" customHeight="1">
      <c r="A43" s="42"/>
      <c r="B43" s="15" t="s">
        <v>10</v>
      </c>
      <c r="C43" s="12">
        <v>93</v>
      </c>
      <c r="D43" s="14">
        <v>94679.047618690005</v>
      </c>
      <c r="F43" s="14"/>
      <c r="G43" s="13"/>
      <c r="I43" s="42"/>
      <c r="J43" s="15" t="s">
        <v>10</v>
      </c>
      <c r="K43" s="12">
        <v>78</v>
      </c>
      <c r="L43" s="14">
        <v>80679.047618699988</v>
      </c>
      <c r="M43" s="12">
        <f t="shared" ref="M43:M53" si="123">K43-C43</f>
        <v>-15</v>
      </c>
      <c r="N43" s="14">
        <f t="shared" ref="N43:N53" si="124">L43-D43</f>
        <v>-13999.999999990017</v>
      </c>
      <c r="O43" s="13">
        <f t="shared" ref="O43:O53" si="125">(L43-D43)/D43</f>
        <v>-0.14786798507282792</v>
      </c>
      <c r="Q43" s="42"/>
      <c r="R43" s="15" t="s">
        <v>10</v>
      </c>
      <c r="S43" s="12">
        <v>80</v>
      </c>
      <c r="T43" s="14">
        <v>78074.285713970021</v>
      </c>
      <c r="U43" s="12">
        <f t="shared" ref="U43:U53" si="126">S43-K43</f>
        <v>2</v>
      </c>
      <c r="V43" s="14">
        <f t="shared" ref="V43:V53" si="127">T43-L43</f>
        <v>-2604.7619047299668</v>
      </c>
      <c r="W43" s="13">
        <f t="shared" ref="W43:W53" si="128">(T43-L43)/L43</f>
        <v>-3.2285481566917115E-2</v>
      </c>
      <c r="Y43" s="42"/>
      <c r="Z43" s="15" t="s">
        <v>10</v>
      </c>
      <c r="AA43" s="12">
        <v>133</v>
      </c>
      <c r="AB43" s="14">
        <v>146170.47618998986</v>
      </c>
      <c r="AC43" s="12">
        <f t="shared" ref="AC43:AC53" si="129">AA43-S43</f>
        <v>53</v>
      </c>
      <c r="AD43" s="14">
        <f t="shared" ref="AD43:AD53" si="130">AB43-T43</f>
        <v>68096.190476019838</v>
      </c>
      <c r="AE43" s="13">
        <f t="shared" ref="AE43:AE53" si="131">(AB43-T43)/T43</f>
        <v>0.87219741882102442</v>
      </c>
      <c r="AG43" s="42"/>
      <c r="AH43" s="15" t="s">
        <v>10</v>
      </c>
      <c r="AI43" s="12">
        <v>229</v>
      </c>
      <c r="AJ43" s="14">
        <v>272478.09523734008</v>
      </c>
      <c r="AK43" s="12">
        <f t="shared" ref="AK43:AK53" si="132">AI43-AA43</f>
        <v>96</v>
      </c>
      <c r="AL43" s="14">
        <f t="shared" ref="AL43:AL53" si="133">AJ43-AB43</f>
        <v>126307.61904735022</v>
      </c>
      <c r="AM43" s="13">
        <f t="shared" ref="AM43:AM53" si="134">(AJ43-AB43)/AB43</f>
        <v>0.86411170257923875</v>
      </c>
      <c r="AO43" s="42"/>
      <c r="AP43" s="15" t="s">
        <v>10</v>
      </c>
      <c r="AQ43" s="12">
        <v>94</v>
      </c>
      <c r="AR43" s="14">
        <v>106990.47619006997</v>
      </c>
      <c r="AS43" s="12">
        <f t="shared" ref="AS43:AS53" si="135">AQ43-AI43</f>
        <v>-135</v>
      </c>
      <c r="AT43" s="14">
        <f t="shared" ref="AT43:AT53" si="136">AR43-AJ43</f>
        <v>-165487.6190472701</v>
      </c>
      <c r="AU43" s="13">
        <f t="shared" ref="AU43:AU53" si="137">(AR43-AJ43)/AJ43</f>
        <v>-0.60734283577226011</v>
      </c>
      <c r="AW43" s="42"/>
      <c r="AX43" s="15" t="s">
        <v>10</v>
      </c>
      <c r="AY43" s="12">
        <v>81</v>
      </c>
      <c r="AZ43" s="14">
        <v>91798.09523779001</v>
      </c>
      <c r="BA43" s="12">
        <f t="shared" ref="BA43:BA53" si="138">AY43-AQ43</f>
        <v>-13</v>
      </c>
      <c r="BB43" s="14">
        <f t="shared" ref="BB43:BB53" si="139">AZ43-AR43</f>
        <v>-15192.380952279957</v>
      </c>
      <c r="BC43" s="13">
        <f t="shared" ref="BC43:BC53" si="140">(AZ43-AR43)/AR43</f>
        <v>-0.1419975075659117</v>
      </c>
      <c r="BE43" s="42"/>
      <c r="BF43" s="15" t="s">
        <v>10</v>
      </c>
      <c r="BG43" s="12">
        <v>100</v>
      </c>
      <c r="BH43" s="14">
        <v>94920.952380560004</v>
      </c>
      <c r="BI43" s="12">
        <f t="shared" ref="BI43:BI53" si="141">BG43-AY43</f>
        <v>19</v>
      </c>
      <c r="BJ43" s="14">
        <f t="shared" ref="BJ43:BJ53" si="142">BH43-AZ43</f>
        <v>3122.8571427699935</v>
      </c>
      <c r="BK43" s="13">
        <f t="shared" ref="BK43:BK53" si="143">(BH43-AZ43)/AZ43</f>
        <v>3.4018757520846953E-2</v>
      </c>
      <c r="BL43" s="35"/>
      <c r="BM43" s="42"/>
      <c r="BN43" s="15" t="s">
        <v>10</v>
      </c>
      <c r="BO43" s="12">
        <v>90</v>
      </c>
      <c r="BP43" s="14">
        <v>98739.047618670025</v>
      </c>
      <c r="BQ43" s="12">
        <f t="shared" ref="BQ43:BQ53" si="144">BO43-BG43</f>
        <v>-10</v>
      </c>
      <c r="BR43" s="14">
        <f t="shared" ref="BR43:BR53" si="145">BP43-BH43</f>
        <v>3818.0952381100215</v>
      </c>
      <c r="BS43" s="13">
        <f t="shared" ref="BS43:BS53" si="146">(BP43-BH43)/BH43</f>
        <v>4.0223945739633928E-2</v>
      </c>
      <c r="BU43" s="42"/>
      <c r="BV43" s="15" t="s">
        <v>10</v>
      </c>
      <c r="BW43" s="12">
        <v>75</v>
      </c>
      <c r="BX43" s="14">
        <v>77505.714285410038</v>
      </c>
      <c r="BY43" s="12">
        <f t="shared" ref="BY43:BY52" si="147">BW43-BO43</f>
        <v>-15</v>
      </c>
      <c r="BZ43" s="14">
        <f t="shared" ref="BZ43:BZ52" si="148">BX43-BP43</f>
        <v>-21233.333333259987</v>
      </c>
      <c r="CA43" s="13">
        <f t="shared" ref="CA43:CA52" si="149">(BX43-BP43)/BP43</f>
        <v>-0.21504494772182806</v>
      </c>
      <c r="CC43" s="42"/>
      <c r="CD43" s="15" t="s">
        <v>10</v>
      </c>
      <c r="CE43" s="12">
        <v>81</v>
      </c>
      <c r="CF43" s="14">
        <v>78980.952380660005</v>
      </c>
      <c r="CG43" s="12">
        <f t="shared" ref="CG43:CG52" si="150">CE43-BW43</f>
        <v>6</v>
      </c>
      <c r="CH43" s="14">
        <f t="shared" ref="CH43:CH52" si="151">CF43-BX43</f>
        <v>1475.2380952499661</v>
      </c>
      <c r="CI43" s="13">
        <f t="shared" ref="CI43:CI52" si="152">(CF43-BX43)/BX43</f>
        <v>1.9033926838187599E-2</v>
      </c>
      <c r="CK43" s="42"/>
      <c r="CL43" s="15" t="s">
        <v>10</v>
      </c>
      <c r="CM43" s="12">
        <v>68</v>
      </c>
      <c r="CN43" s="14">
        <v>67559.999999690001</v>
      </c>
      <c r="CO43" s="12">
        <f t="shared" ref="CO43:CO52" si="153">CM43-CE43</f>
        <v>-13</v>
      </c>
      <c r="CP43" s="14">
        <f t="shared" ref="CP43:CP52" si="154">CN43-CF43</f>
        <v>-11420.952380970004</v>
      </c>
      <c r="CQ43" s="13">
        <f t="shared" ref="CQ43:CQ52" si="155">(CN43-CF43)/CF43</f>
        <v>-0.14460388279347519</v>
      </c>
      <c r="CS43" s="42"/>
      <c r="CT43" s="15" t="s">
        <v>10</v>
      </c>
      <c r="CU43" s="12">
        <v>33</v>
      </c>
      <c r="CV43" s="14">
        <v>36768.571428450006</v>
      </c>
      <c r="CW43" s="12">
        <f t="shared" ref="CW43:CW52" si="156">CU43-CM43</f>
        <v>-35</v>
      </c>
      <c r="CX43" s="14">
        <f t="shared" ref="CX43:CX52" si="157">CV43-CN43</f>
        <v>-30791.428571239994</v>
      </c>
      <c r="CY43" s="13">
        <f t="shared" ref="CY43:CY52" si="158">(CV43-CN43)/CN43</f>
        <v>-0.45576418844554883</v>
      </c>
    </row>
    <row r="44" spans="1:103" s="12" customFormat="1" ht="20" customHeight="1">
      <c r="A44" s="42"/>
      <c r="B44" s="15" t="s">
        <v>9</v>
      </c>
      <c r="C44" s="12">
        <v>99</v>
      </c>
      <c r="D44" s="14">
        <v>91733.333333200004</v>
      </c>
      <c r="F44" s="14"/>
      <c r="G44" s="13"/>
      <c r="I44" s="42"/>
      <c r="J44" s="15" t="s">
        <v>9</v>
      </c>
      <c r="K44" s="12">
        <v>105</v>
      </c>
      <c r="L44" s="14">
        <v>89497.142857049999</v>
      </c>
      <c r="M44" s="12">
        <f t="shared" si="123"/>
        <v>6</v>
      </c>
      <c r="N44" s="14">
        <f t="shared" si="124"/>
        <v>-2236.1904761500045</v>
      </c>
      <c r="O44" s="13">
        <f t="shared" si="125"/>
        <v>-2.4377076411554375E-2</v>
      </c>
      <c r="Q44" s="42"/>
      <c r="R44" s="15" t="s">
        <v>9</v>
      </c>
      <c r="S44" s="12">
        <v>71</v>
      </c>
      <c r="T44" s="14">
        <v>70771.428571340017</v>
      </c>
      <c r="U44" s="12">
        <f t="shared" si="126"/>
        <v>-34</v>
      </c>
      <c r="V44" s="14">
        <f t="shared" si="127"/>
        <v>-18725.714285709983</v>
      </c>
      <c r="W44" s="13">
        <f t="shared" si="128"/>
        <v>-0.20923253735172054</v>
      </c>
      <c r="Y44" s="42"/>
      <c r="Z44" s="15" t="s">
        <v>9</v>
      </c>
      <c r="AA44" s="12">
        <v>111</v>
      </c>
      <c r="AB44" s="14">
        <v>142341.90476180002</v>
      </c>
      <c r="AC44" s="12">
        <f t="shared" si="129"/>
        <v>40</v>
      </c>
      <c r="AD44" s="14">
        <f t="shared" si="130"/>
        <v>71570.476190460002</v>
      </c>
      <c r="AE44" s="13">
        <f t="shared" si="131"/>
        <v>1.0112905396323111</v>
      </c>
      <c r="AG44" s="42"/>
      <c r="AH44" s="15" t="s">
        <v>9</v>
      </c>
      <c r="AI44" s="12">
        <v>162</v>
      </c>
      <c r="AJ44" s="14">
        <v>195275.23809512</v>
      </c>
      <c r="AK44" s="12">
        <f t="shared" si="132"/>
        <v>51</v>
      </c>
      <c r="AL44" s="14">
        <f t="shared" si="133"/>
        <v>52933.333333319984</v>
      </c>
      <c r="AM44" s="13">
        <f t="shared" si="134"/>
        <v>0.37187456091655158</v>
      </c>
      <c r="AO44" s="42"/>
      <c r="AP44" s="15" t="s">
        <v>9</v>
      </c>
      <c r="AQ44" s="12">
        <v>88</v>
      </c>
      <c r="AR44" s="14">
        <v>108858.09523798003</v>
      </c>
      <c r="AS44" s="12">
        <f t="shared" si="135"/>
        <v>-74</v>
      </c>
      <c r="AT44" s="14">
        <f t="shared" si="136"/>
        <v>-86417.142857139974</v>
      </c>
      <c r="AU44" s="13">
        <f t="shared" si="137"/>
        <v>-0.44254019966958408</v>
      </c>
      <c r="AW44" s="42"/>
      <c r="AX44" s="15" t="s">
        <v>9</v>
      </c>
      <c r="AY44" s="12">
        <v>59</v>
      </c>
      <c r="AZ44" s="14">
        <v>55923.809523710006</v>
      </c>
      <c r="BA44" s="12">
        <f t="shared" si="138"/>
        <v>-29</v>
      </c>
      <c r="BB44" s="14">
        <f t="shared" si="139"/>
        <v>-52934.285714270023</v>
      </c>
      <c r="BC44" s="13">
        <f t="shared" si="140"/>
        <v>-0.48626871156019935</v>
      </c>
      <c r="BE44" s="42"/>
      <c r="BF44" s="15" t="s">
        <v>9</v>
      </c>
      <c r="BG44" s="12">
        <v>91</v>
      </c>
      <c r="BH44" s="14">
        <v>128477.14285705</v>
      </c>
      <c r="BI44" s="12">
        <f t="shared" si="141"/>
        <v>32</v>
      </c>
      <c r="BJ44" s="14">
        <f t="shared" si="142"/>
        <v>72553.333333339993</v>
      </c>
      <c r="BK44" s="13">
        <f t="shared" si="143"/>
        <v>1.2973603542258609</v>
      </c>
      <c r="BL44" s="35"/>
      <c r="BM44" s="42"/>
      <c r="BN44" s="15" t="s">
        <v>9</v>
      </c>
      <c r="BO44" s="12">
        <v>82</v>
      </c>
      <c r="BP44" s="14">
        <v>86697.142857039988</v>
      </c>
      <c r="BQ44" s="12">
        <f t="shared" si="144"/>
        <v>-9</v>
      </c>
      <c r="BR44" s="14">
        <f t="shared" si="145"/>
        <v>-41780.000000010012</v>
      </c>
      <c r="BS44" s="13">
        <f t="shared" si="146"/>
        <v>-0.32519403117873269</v>
      </c>
      <c r="BU44" s="42"/>
      <c r="BV44" s="15" t="s">
        <v>9</v>
      </c>
      <c r="BW44" s="12">
        <v>77</v>
      </c>
      <c r="BX44" s="14">
        <v>99257.142857060011</v>
      </c>
      <c r="BY44" s="12">
        <f t="shared" si="147"/>
        <v>-5</v>
      </c>
      <c r="BZ44" s="14">
        <f t="shared" si="148"/>
        <v>12560.000000020023</v>
      </c>
      <c r="CA44" s="13">
        <f t="shared" si="149"/>
        <v>0.14487213287675402</v>
      </c>
      <c r="CC44" s="42"/>
      <c r="CD44" s="15" t="s">
        <v>9</v>
      </c>
      <c r="CE44" s="12">
        <v>75</v>
      </c>
      <c r="CF44" s="14">
        <v>70507.619047529995</v>
      </c>
      <c r="CG44" s="12">
        <f t="shared" si="150"/>
        <v>-2</v>
      </c>
      <c r="CH44" s="14">
        <f t="shared" si="151"/>
        <v>-28749.523809530016</v>
      </c>
      <c r="CI44" s="13">
        <f t="shared" si="152"/>
        <v>-0.28964690078710142</v>
      </c>
      <c r="CK44" s="42"/>
      <c r="CL44" s="15" t="s">
        <v>9</v>
      </c>
      <c r="CM44" s="12">
        <v>77</v>
      </c>
      <c r="CN44" s="14">
        <v>82543.809523689997</v>
      </c>
      <c r="CO44" s="12">
        <f t="shared" si="153"/>
        <v>2</v>
      </c>
      <c r="CP44" s="14">
        <f t="shared" si="154"/>
        <v>12036.190476160002</v>
      </c>
      <c r="CQ44" s="13">
        <f t="shared" si="155"/>
        <v>0.17070765739580948</v>
      </c>
      <c r="CS44" s="42"/>
      <c r="CT44" s="15" t="s">
        <v>9</v>
      </c>
      <c r="CU44" s="12">
        <v>57</v>
      </c>
      <c r="CV44" s="14">
        <v>70980.952380850009</v>
      </c>
      <c r="CW44" s="12">
        <f t="shared" si="156"/>
        <v>-20</v>
      </c>
      <c r="CX44" s="14">
        <f t="shared" si="157"/>
        <v>-11562.857142839988</v>
      </c>
      <c r="CY44" s="13">
        <f t="shared" si="158"/>
        <v>-0.14008145746558329</v>
      </c>
    </row>
    <row r="45" spans="1:103" s="12" customFormat="1" ht="20" customHeight="1">
      <c r="A45" s="16"/>
      <c r="B45" s="15" t="s">
        <v>8</v>
      </c>
      <c r="C45" s="12">
        <v>18</v>
      </c>
      <c r="D45" s="14">
        <v>104114.28571426999</v>
      </c>
      <c r="F45" s="14"/>
      <c r="G45" s="13"/>
      <c r="I45" s="16"/>
      <c r="J45" s="15" t="s">
        <v>8</v>
      </c>
      <c r="K45" s="12">
        <v>24</v>
      </c>
      <c r="L45" s="14">
        <v>139486.66666665999</v>
      </c>
      <c r="M45" s="12">
        <f t="shared" si="123"/>
        <v>6</v>
      </c>
      <c r="N45" s="14">
        <f t="shared" si="124"/>
        <v>35372.380952389998</v>
      </c>
      <c r="O45" s="13">
        <f t="shared" si="125"/>
        <v>0.33974570069534493</v>
      </c>
      <c r="Q45" s="16"/>
      <c r="R45" s="15" t="s">
        <v>8</v>
      </c>
      <c r="S45" s="12">
        <v>32</v>
      </c>
      <c r="T45" s="14">
        <v>206838.09523808002</v>
      </c>
      <c r="U45" s="12">
        <f t="shared" si="126"/>
        <v>8</v>
      </c>
      <c r="V45" s="14">
        <f t="shared" si="127"/>
        <v>67351.428571420023</v>
      </c>
      <c r="W45" s="13">
        <f t="shared" si="128"/>
        <v>0.48285209031752074</v>
      </c>
      <c r="Y45" s="16"/>
      <c r="Z45" s="15" t="s">
        <v>8</v>
      </c>
      <c r="AA45" s="12">
        <v>34</v>
      </c>
      <c r="AB45" s="14">
        <v>232533.33333330997</v>
      </c>
      <c r="AC45" s="12">
        <f t="shared" si="129"/>
        <v>2</v>
      </c>
      <c r="AD45" s="14">
        <f t="shared" si="130"/>
        <v>25695.238095229957</v>
      </c>
      <c r="AE45" s="13">
        <f t="shared" si="131"/>
        <v>0.12422875034530546</v>
      </c>
      <c r="AG45" s="16"/>
      <c r="AH45" s="15" t="s">
        <v>8</v>
      </c>
      <c r="AI45" s="12">
        <v>56</v>
      </c>
      <c r="AJ45" s="14">
        <v>366609.52380949998</v>
      </c>
      <c r="AK45" s="12">
        <f t="shared" si="132"/>
        <v>22</v>
      </c>
      <c r="AL45" s="14">
        <f t="shared" si="133"/>
        <v>134076.19047619001</v>
      </c>
      <c r="AM45" s="13">
        <f t="shared" si="134"/>
        <v>0.5765891218873429</v>
      </c>
      <c r="AO45" s="16"/>
      <c r="AP45" s="15" t="s">
        <v>8</v>
      </c>
      <c r="AQ45" s="12">
        <v>29</v>
      </c>
      <c r="AR45" s="14">
        <v>172580.95238094998</v>
      </c>
      <c r="AS45" s="12">
        <f t="shared" si="135"/>
        <v>-27</v>
      </c>
      <c r="AT45" s="14">
        <f t="shared" si="136"/>
        <v>-194028.57142855</v>
      </c>
      <c r="AU45" s="13">
        <f t="shared" si="137"/>
        <v>-0.52925131189273844</v>
      </c>
      <c r="AW45" s="16"/>
      <c r="AX45" s="15" t="s">
        <v>8</v>
      </c>
      <c r="AY45" s="12">
        <v>23</v>
      </c>
      <c r="AZ45" s="14">
        <v>141209.52380950999</v>
      </c>
      <c r="BA45" s="12">
        <f t="shared" si="138"/>
        <v>-6</v>
      </c>
      <c r="BB45" s="14">
        <f t="shared" si="139"/>
        <v>-31371.428571439988</v>
      </c>
      <c r="BC45" s="13">
        <f t="shared" si="140"/>
        <v>-0.18177804756918739</v>
      </c>
      <c r="BE45" s="16"/>
      <c r="BF45" s="15" t="s">
        <v>8</v>
      </c>
      <c r="BG45" s="12">
        <v>16</v>
      </c>
      <c r="BH45" s="14">
        <v>102704.76190474001</v>
      </c>
      <c r="BI45" s="12">
        <f t="shared" si="141"/>
        <v>-7</v>
      </c>
      <c r="BJ45" s="14">
        <f t="shared" si="142"/>
        <v>-38504.761904769985</v>
      </c>
      <c r="BK45" s="13">
        <f t="shared" si="143"/>
        <v>-0.27267822216235543</v>
      </c>
      <c r="BL45" s="35"/>
      <c r="BM45" s="16"/>
      <c r="BN45" s="15" t="s">
        <v>8</v>
      </c>
      <c r="BO45" s="12">
        <v>21</v>
      </c>
      <c r="BP45" s="14">
        <v>134085.7142857</v>
      </c>
      <c r="BQ45" s="12">
        <f t="shared" si="144"/>
        <v>5</v>
      </c>
      <c r="BR45" s="14">
        <f t="shared" si="145"/>
        <v>31380.952380959992</v>
      </c>
      <c r="BS45" s="13">
        <f t="shared" si="146"/>
        <v>0.30554525222565854</v>
      </c>
      <c r="BU45" s="16"/>
      <c r="BV45" s="15" t="s">
        <v>8</v>
      </c>
      <c r="BW45" s="12">
        <v>29</v>
      </c>
      <c r="BX45" s="14">
        <v>168010.47619046998</v>
      </c>
      <c r="BY45" s="12">
        <f t="shared" si="147"/>
        <v>8</v>
      </c>
      <c r="BZ45" s="14">
        <f t="shared" si="148"/>
        <v>33924.761904769985</v>
      </c>
      <c r="CA45" s="13">
        <f t="shared" si="149"/>
        <v>0.25300802613830725</v>
      </c>
      <c r="CC45" s="16"/>
      <c r="CD45" s="15" t="s">
        <v>8</v>
      </c>
      <c r="CE45" s="12">
        <v>25</v>
      </c>
      <c r="CF45" s="14">
        <v>149761.90476190002</v>
      </c>
      <c r="CG45" s="12">
        <f t="shared" si="150"/>
        <v>-4</v>
      </c>
      <c r="CH45" s="14">
        <f t="shared" si="151"/>
        <v>-18248.571428569965</v>
      </c>
      <c r="CI45" s="13">
        <f t="shared" si="152"/>
        <v>-0.10861567589322191</v>
      </c>
      <c r="CK45" s="16"/>
      <c r="CL45" s="15" t="s">
        <v>8</v>
      </c>
      <c r="CM45" s="12">
        <v>15</v>
      </c>
      <c r="CN45" s="14">
        <v>96999.999999980006</v>
      </c>
      <c r="CO45" s="12">
        <f t="shared" si="153"/>
        <v>-10</v>
      </c>
      <c r="CP45" s="14">
        <f t="shared" si="154"/>
        <v>-52761.904761920014</v>
      </c>
      <c r="CQ45" s="13">
        <f t="shared" si="155"/>
        <v>-0.35230524642300648</v>
      </c>
      <c r="CS45" s="16"/>
      <c r="CT45" s="15" t="s">
        <v>8</v>
      </c>
      <c r="CU45" s="12">
        <v>10</v>
      </c>
      <c r="CV45" s="14">
        <v>56762.85714285</v>
      </c>
      <c r="CW45" s="12">
        <f t="shared" si="156"/>
        <v>-5</v>
      </c>
      <c r="CX45" s="14">
        <f t="shared" si="157"/>
        <v>-40237.142857130006</v>
      </c>
      <c r="CY45" s="13">
        <f t="shared" si="158"/>
        <v>-0.41481590574369381</v>
      </c>
    </row>
    <row r="46" spans="1:103" s="12" customFormat="1" ht="20" customHeight="1">
      <c r="A46" s="16"/>
      <c r="B46" s="15" t="s">
        <v>7</v>
      </c>
      <c r="C46" s="12">
        <v>9</v>
      </c>
      <c r="D46" s="14">
        <v>116095.23809520999</v>
      </c>
      <c r="F46" s="14"/>
      <c r="G46" s="13"/>
      <c r="I46" s="16"/>
      <c r="J46" s="15" t="s">
        <v>7</v>
      </c>
      <c r="K46" s="12">
        <v>11</v>
      </c>
      <c r="L46" s="14">
        <v>124274.28571425998</v>
      </c>
      <c r="M46" s="12">
        <f t="shared" si="123"/>
        <v>2</v>
      </c>
      <c r="N46" s="14">
        <f t="shared" si="124"/>
        <v>8179.0476190499903</v>
      </c>
      <c r="O46" s="13">
        <f t="shared" si="125"/>
        <v>7.0451189499627309E-2</v>
      </c>
      <c r="Q46" s="16"/>
      <c r="R46" s="15" t="s">
        <v>7</v>
      </c>
      <c r="S46" s="12">
        <v>8</v>
      </c>
      <c r="T46" s="14">
        <v>90655.238095210007</v>
      </c>
      <c r="U46" s="12">
        <f t="shared" si="126"/>
        <v>-3</v>
      </c>
      <c r="V46" s="14">
        <f t="shared" si="127"/>
        <v>-33619.047619049976</v>
      </c>
      <c r="W46" s="13">
        <f t="shared" si="128"/>
        <v>-0.27052295996574233</v>
      </c>
      <c r="Y46" s="16"/>
      <c r="Z46" s="15" t="s">
        <v>7</v>
      </c>
      <c r="AA46" s="12">
        <v>8</v>
      </c>
      <c r="AB46" s="14">
        <v>98464.761904729996</v>
      </c>
      <c r="AC46" s="12">
        <f t="shared" si="129"/>
        <v>0</v>
      </c>
      <c r="AD46" s="14">
        <f t="shared" si="130"/>
        <v>7809.5238095199893</v>
      </c>
      <c r="AE46" s="13">
        <f t="shared" si="131"/>
        <v>8.6145312434325008E-2</v>
      </c>
      <c r="AG46" s="16"/>
      <c r="AH46" s="15" t="s">
        <v>7</v>
      </c>
      <c r="AI46" s="12">
        <v>18</v>
      </c>
      <c r="AJ46" s="14">
        <v>223036.19047614001</v>
      </c>
      <c r="AK46" s="12">
        <f t="shared" si="132"/>
        <v>10</v>
      </c>
      <c r="AL46" s="14">
        <f t="shared" si="133"/>
        <v>124571.42857141001</v>
      </c>
      <c r="AM46" s="13">
        <f t="shared" si="134"/>
        <v>1.2651371532481805</v>
      </c>
      <c r="AO46" s="16"/>
      <c r="AP46" s="15" t="s">
        <v>7</v>
      </c>
      <c r="AQ46" s="12">
        <v>15</v>
      </c>
      <c r="AR46" s="14">
        <v>194929.52380949</v>
      </c>
      <c r="AS46" s="12">
        <f t="shared" si="135"/>
        <v>-3</v>
      </c>
      <c r="AT46" s="14">
        <f t="shared" si="136"/>
        <v>-28106.66666665001</v>
      </c>
      <c r="AU46" s="13">
        <f t="shared" si="137"/>
        <v>-0.12601841255738633</v>
      </c>
      <c r="AW46" s="16"/>
      <c r="AX46" s="15" t="s">
        <v>7</v>
      </c>
      <c r="AY46" s="12">
        <v>9</v>
      </c>
      <c r="AZ46" s="14">
        <v>110761.90476188</v>
      </c>
      <c r="BA46" s="12">
        <f t="shared" si="138"/>
        <v>-6</v>
      </c>
      <c r="BB46" s="14">
        <f t="shared" si="139"/>
        <v>-84167.619047610002</v>
      </c>
      <c r="BC46" s="13">
        <f t="shared" si="140"/>
        <v>-0.4317848697453821</v>
      </c>
      <c r="BE46" s="16"/>
      <c r="BF46" s="15" t="s">
        <v>7</v>
      </c>
      <c r="BG46" s="12">
        <v>14</v>
      </c>
      <c r="BH46" s="14">
        <v>163893.33333330002</v>
      </c>
      <c r="BI46" s="12">
        <f t="shared" si="141"/>
        <v>5</v>
      </c>
      <c r="BJ46" s="14">
        <f t="shared" si="142"/>
        <v>53131.428571420023</v>
      </c>
      <c r="BK46" s="13">
        <f t="shared" si="143"/>
        <v>0.47969045571800084</v>
      </c>
      <c r="BL46" s="35"/>
      <c r="BM46" s="16"/>
      <c r="BN46" s="15" t="s">
        <v>7</v>
      </c>
      <c r="BO46" s="12">
        <v>10</v>
      </c>
      <c r="BP46" s="14">
        <v>128952.38095235999</v>
      </c>
      <c r="BQ46" s="12">
        <f t="shared" si="144"/>
        <v>-4</v>
      </c>
      <c r="BR46" s="14">
        <f t="shared" si="145"/>
        <v>-34940.952380940027</v>
      </c>
      <c r="BS46" s="13">
        <f t="shared" si="146"/>
        <v>-0.21319324996510208</v>
      </c>
      <c r="BU46" s="16"/>
      <c r="BV46" s="15" t="s">
        <v>7</v>
      </c>
      <c r="BW46" s="12">
        <v>11</v>
      </c>
      <c r="BX46" s="14">
        <v>150750.47619042001</v>
      </c>
      <c r="BY46" s="12">
        <f t="shared" si="147"/>
        <v>1</v>
      </c>
      <c r="BZ46" s="14">
        <f t="shared" si="148"/>
        <v>21798.095238060021</v>
      </c>
      <c r="CA46" s="13">
        <f t="shared" si="149"/>
        <v>0.16903988183136442</v>
      </c>
      <c r="CC46" s="16"/>
      <c r="CD46" s="15" t="s">
        <v>7</v>
      </c>
      <c r="CE46" s="12">
        <v>7</v>
      </c>
      <c r="CF46" s="14">
        <v>73428.57142855</v>
      </c>
      <c r="CG46" s="12">
        <f t="shared" si="150"/>
        <v>-4</v>
      </c>
      <c r="CH46" s="14">
        <f t="shared" si="151"/>
        <v>-77321.904761870013</v>
      </c>
      <c r="CI46" s="13">
        <f t="shared" si="152"/>
        <v>-0.51291317092890032</v>
      </c>
      <c r="CK46" s="16"/>
      <c r="CL46" s="15" t="s">
        <v>7</v>
      </c>
      <c r="CM46" s="12">
        <v>11</v>
      </c>
      <c r="CN46" s="14">
        <v>150377.14285711001</v>
      </c>
      <c r="CO46" s="12">
        <f t="shared" si="153"/>
        <v>4</v>
      </c>
      <c r="CP46" s="14">
        <f t="shared" si="154"/>
        <v>76948.571428560012</v>
      </c>
      <c r="CQ46" s="13">
        <f t="shared" si="155"/>
        <v>1.0479377431908119</v>
      </c>
      <c r="CS46" s="16"/>
      <c r="CT46" s="15" t="s">
        <v>7</v>
      </c>
      <c r="CU46" s="12">
        <v>5</v>
      </c>
      <c r="CV46" s="14">
        <v>52083.809523789998</v>
      </c>
      <c r="CW46" s="12">
        <f t="shared" si="156"/>
        <v>-6</v>
      </c>
      <c r="CX46" s="14">
        <f t="shared" si="157"/>
        <v>-98293.333333320013</v>
      </c>
      <c r="CY46" s="13">
        <f t="shared" si="158"/>
        <v>-0.65364543750322079</v>
      </c>
    </row>
    <row r="47" spans="1:103" s="12" customFormat="1" ht="20" customHeight="1">
      <c r="A47" s="16"/>
      <c r="B47" s="15" t="s">
        <v>6</v>
      </c>
      <c r="C47" s="12">
        <v>2</v>
      </c>
      <c r="D47" s="14">
        <v>5714.2857142800003</v>
      </c>
      <c r="F47" s="14"/>
      <c r="G47" s="13"/>
      <c r="I47" s="16"/>
      <c r="J47" s="15" t="s">
        <v>6</v>
      </c>
      <c r="K47" s="12">
        <v>0</v>
      </c>
      <c r="L47" s="14">
        <v>0</v>
      </c>
      <c r="M47" s="12">
        <f t="shared" si="123"/>
        <v>-2</v>
      </c>
      <c r="N47" s="14">
        <f t="shared" si="124"/>
        <v>-5714.2857142800003</v>
      </c>
      <c r="O47" s="13">
        <f t="shared" si="125"/>
        <v>-1</v>
      </c>
      <c r="Q47" s="16"/>
      <c r="R47" s="15" t="s">
        <v>6</v>
      </c>
      <c r="S47" s="12">
        <v>3</v>
      </c>
      <c r="T47" s="14">
        <v>8571.4285714200014</v>
      </c>
      <c r="U47" s="12">
        <f t="shared" si="126"/>
        <v>3</v>
      </c>
      <c r="V47" s="14">
        <f t="shared" si="127"/>
        <v>8571.4285714200014</v>
      </c>
      <c r="W47" s="13" t="e">
        <f t="shared" si="128"/>
        <v>#DIV/0!</v>
      </c>
      <c r="Y47" s="16"/>
      <c r="Z47" s="15" t="s">
        <v>6</v>
      </c>
      <c r="AA47" s="12">
        <v>2</v>
      </c>
      <c r="AB47" s="14">
        <v>5714.2857142800003</v>
      </c>
      <c r="AC47" s="12">
        <f t="shared" si="129"/>
        <v>-1</v>
      </c>
      <c r="AD47" s="14">
        <f t="shared" si="130"/>
        <v>-2857.1428571400011</v>
      </c>
      <c r="AE47" s="13">
        <f t="shared" si="131"/>
        <v>-0.33333333333333343</v>
      </c>
      <c r="AG47" s="16"/>
      <c r="AH47" s="15" t="s">
        <v>6</v>
      </c>
      <c r="AI47" s="12">
        <v>7</v>
      </c>
      <c r="AJ47" s="14">
        <v>22847.619047610002</v>
      </c>
      <c r="AK47" s="12">
        <f t="shared" si="132"/>
        <v>5</v>
      </c>
      <c r="AL47" s="14">
        <f t="shared" si="133"/>
        <v>17133.333333330003</v>
      </c>
      <c r="AM47" s="13">
        <f t="shared" si="134"/>
        <v>2.9983333333357489</v>
      </c>
      <c r="AO47" s="16"/>
      <c r="AP47" s="15" t="s">
        <v>6</v>
      </c>
      <c r="AQ47" s="12">
        <v>0</v>
      </c>
      <c r="AR47" s="14">
        <v>0</v>
      </c>
      <c r="AS47" s="12">
        <f t="shared" si="135"/>
        <v>-7</v>
      </c>
      <c r="AT47" s="14">
        <f t="shared" si="136"/>
        <v>-22847.619047610002</v>
      </c>
      <c r="AU47" s="13">
        <f t="shared" si="137"/>
        <v>-1</v>
      </c>
      <c r="AW47" s="16"/>
      <c r="AX47" s="15" t="s">
        <v>6</v>
      </c>
      <c r="AY47" s="12">
        <v>3</v>
      </c>
      <c r="AZ47" s="14">
        <v>8428.5714285600006</v>
      </c>
      <c r="BA47" s="12">
        <f t="shared" si="138"/>
        <v>3</v>
      </c>
      <c r="BB47" s="14">
        <f t="shared" si="139"/>
        <v>8428.5714285600006</v>
      </c>
      <c r="BC47" s="13" t="e">
        <f t="shared" si="140"/>
        <v>#DIV/0!</v>
      </c>
      <c r="BE47" s="16"/>
      <c r="BF47" s="15" t="s">
        <v>6</v>
      </c>
      <c r="BG47" s="12">
        <v>2</v>
      </c>
      <c r="BH47" s="14">
        <v>5714.2857142800003</v>
      </c>
      <c r="BI47" s="12">
        <f t="shared" si="141"/>
        <v>-1</v>
      </c>
      <c r="BJ47" s="14">
        <f t="shared" si="142"/>
        <v>-2714.2857142800003</v>
      </c>
      <c r="BK47" s="13">
        <f t="shared" si="143"/>
        <v>-0.32203389830484347</v>
      </c>
      <c r="BL47" s="14"/>
      <c r="BM47" s="16"/>
      <c r="BN47" s="15" t="s">
        <v>6</v>
      </c>
      <c r="BO47" s="12">
        <v>1</v>
      </c>
      <c r="BP47" s="14">
        <v>2857.1428571400002</v>
      </c>
      <c r="BQ47" s="12">
        <f t="shared" si="144"/>
        <v>-1</v>
      </c>
      <c r="BR47" s="14">
        <f t="shared" si="145"/>
        <v>-2857.1428571400002</v>
      </c>
      <c r="BS47" s="13">
        <f t="shared" si="146"/>
        <v>-0.5</v>
      </c>
      <c r="BU47" s="16"/>
      <c r="BV47" s="15" t="s">
        <v>6</v>
      </c>
      <c r="BW47" s="12">
        <v>3</v>
      </c>
      <c r="BX47" s="14">
        <v>8571.4285714200014</v>
      </c>
      <c r="BY47" s="12">
        <f t="shared" si="147"/>
        <v>2</v>
      </c>
      <c r="BZ47" s="14">
        <f t="shared" si="148"/>
        <v>5714.2857142800012</v>
      </c>
      <c r="CA47" s="13">
        <f t="shared" si="149"/>
        <v>2.0000000000000004</v>
      </c>
      <c r="CC47" s="16"/>
      <c r="CD47" s="15" t="s">
        <v>6</v>
      </c>
      <c r="CE47" s="12">
        <v>3</v>
      </c>
      <c r="CF47" s="14">
        <v>8428.5714285600006</v>
      </c>
      <c r="CG47" s="12">
        <f t="shared" si="150"/>
        <v>0</v>
      </c>
      <c r="CH47" s="14">
        <f t="shared" si="151"/>
        <v>-142.85714286000075</v>
      </c>
      <c r="CI47" s="13">
        <f t="shared" si="152"/>
        <v>-1.6666666667016751E-2</v>
      </c>
      <c r="CK47" s="16"/>
      <c r="CL47" s="15" t="s">
        <v>6</v>
      </c>
      <c r="CM47" s="12">
        <v>1</v>
      </c>
      <c r="CN47" s="14">
        <v>2857.1428571400002</v>
      </c>
      <c r="CO47" s="12">
        <f t="shared" si="153"/>
        <v>-2</v>
      </c>
      <c r="CP47" s="14">
        <f t="shared" si="154"/>
        <v>-5571.4285714200005</v>
      </c>
      <c r="CQ47" s="13">
        <f t="shared" si="155"/>
        <v>-0.66101694915242171</v>
      </c>
      <c r="CS47" s="16"/>
      <c r="CT47" s="15" t="s">
        <v>6</v>
      </c>
      <c r="CU47" s="38">
        <v>2</v>
      </c>
      <c r="CV47" s="14">
        <v>5714.2857142800003</v>
      </c>
      <c r="CW47" s="12">
        <f t="shared" si="156"/>
        <v>1</v>
      </c>
      <c r="CX47" s="14">
        <f t="shared" si="157"/>
        <v>2857.1428571400002</v>
      </c>
      <c r="CY47" s="13">
        <f t="shared" si="158"/>
        <v>1</v>
      </c>
    </row>
    <row r="48" spans="1:103" s="12" customFormat="1" ht="20" customHeight="1">
      <c r="A48" s="16"/>
      <c r="B48" s="15" t="s">
        <v>5</v>
      </c>
      <c r="C48" s="12">
        <v>0</v>
      </c>
      <c r="D48" s="14">
        <v>0</v>
      </c>
      <c r="F48" s="14"/>
      <c r="G48" s="13"/>
      <c r="I48" s="16"/>
      <c r="J48" s="15" t="s">
        <v>5</v>
      </c>
      <c r="K48" s="12">
        <v>2</v>
      </c>
      <c r="L48" s="14">
        <v>3980</v>
      </c>
      <c r="M48" s="12">
        <f t="shared" si="123"/>
        <v>2</v>
      </c>
      <c r="N48" s="14">
        <f t="shared" si="124"/>
        <v>3980</v>
      </c>
      <c r="O48" s="13" t="e">
        <f t="shared" si="125"/>
        <v>#DIV/0!</v>
      </c>
      <c r="Q48" s="16"/>
      <c r="R48" s="15" t="s">
        <v>5</v>
      </c>
      <c r="S48" s="12">
        <v>6</v>
      </c>
      <c r="T48" s="14">
        <v>31040</v>
      </c>
      <c r="U48" s="12">
        <f t="shared" si="126"/>
        <v>4</v>
      </c>
      <c r="V48" s="14">
        <f t="shared" si="127"/>
        <v>27060</v>
      </c>
      <c r="W48" s="13">
        <f t="shared" si="128"/>
        <v>6.7989949748743719</v>
      </c>
      <c r="Y48" s="16"/>
      <c r="Z48" s="15" t="s">
        <v>5</v>
      </c>
      <c r="AA48" s="12">
        <v>2</v>
      </c>
      <c r="AB48" s="14">
        <v>3180</v>
      </c>
      <c r="AC48" s="12">
        <f t="shared" si="129"/>
        <v>-4</v>
      </c>
      <c r="AD48" s="14">
        <f t="shared" si="130"/>
        <v>-27860</v>
      </c>
      <c r="AE48" s="13">
        <f t="shared" si="131"/>
        <v>-0.89755154639175261</v>
      </c>
      <c r="AG48" s="16"/>
      <c r="AH48" s="15" t="s">
        <v>5</v>
      </c>
      <c r="AI48" s="12">
        <v>7</v>
      </c>
      <c r="AJ48" s="14">
        <v>27830</v>
      </c>
      <c r="AK48" s="12">
        <f t="shared" si="132"/>
        <v>5</v>
      </c>
      <c r="AL48" s="14">
        <f t="shared" si="133"/>
        <v>24650</v>
      </c>
      <c r="AM48" s="13">
        <f t="shared" si="134"/>
        <v>7.7515723270440251</v>
      </c>
      <c r="AO48" s="16"/>
      <c r="AP48" s="15" t="s">
        <v>5</v>
      </c>
      <c r="AQ48" s="12">
        <v>2</v>
      </c>
      <c r="AR48" s="14">
        <v>7280</v>
      </c>
      <c r="AS48" s="12">
        <f t="shared" si="135"/>
        <v>-5</v>
      </c>
      <c r="AT48" s="14">
        <f t="shared" si="136"/>
        <v>-20550</v>
      </c>
      <c r="AU48" s="13">
        <f t="shared" si="137"/>
        <v>-0.73841178584261591</v>
      </c>
      <c r="AW48" s="16"/>
      <c r="AX48" s="15" t="s">
        <v>5</v>
      </c>
      <c r="AY48" s="12">
        <v>1</v>
      </c>
      <c r="AZ48" s="14">
        <v>2590</v>
      </c>
      <c r="BA48" s="12">
        <f t="shared" si="138"/>
        <v>-1</v>
      </c>
      <c r="BB48" s="14">
        <f t="shared" si="139"/>
        <v>-4690</v>
      </c>
      <c r="BC48" s="13">
        <f t="shared" si="140"/>
        <v>-0.64423076923076927</v>
      </c>
      <c r="BE48" s="16"/>
      <c r="BF48" s="15" t="s">
        <v>5</v>
      </c>
      <c r="BG48" s="12">
        <v>0</v>
      </c>
      <c r="BH48" s="14">
        <v>0</v>
      </c>
      <c r="BI48" s="12">
        <f t="shared" si="141"/>
        <v>-1</v>
      </c>
      <c r="BJ48" s="14">
        <f t="shared" si="142"/>
        <v>-2590</v>
      </c>
      <c r="BK48" s="13">
        <f t="shared" si="143"/>
        <v>-1</v>
      </c>
      <c r="BL48" s="35"/>
      <c r="BM48" s="16"/>
      <c r="BN48" s="15" t="s">
        <v>5</v>
      </c>
      <c r="BO48" s="12">
        <v>4</v>
      </c>
      <c r="BP48" s="14">
        <v>19860</v>
      </c>
      <c r="BQ48" s="12">
        <f t="shared" si="144"/>
        <v>4</v>
      </c>
      <c r="BR48" s="14">
        <f t="shared" si="145"/>
        <v>19860</v>
      </c>
      <c r="BS48" s="13" t="e">
        <f t="shared" si="146"/>
        <v>#DIV/0!</v>
      </c>
      <c r="BU48" s="16"/>
      <c r="BV48" s="15" t="s">
        <v>5</v>
      </c>
      <c r="BW48" s="12">
        <v>3</v>
      </c>
      <c r="BX48" s="14">
        <v>13870</v>
      </c>
      <c r="BY48" s="12">
        <f t="shared" si="147"/>
        <v>-1</v>
      </c>
      <c r="BZ48" s="14">
        <f t="shared" si="148"/>
        <v>-5990</v>
      </c>
      <c r="CA48" s="13">
        <f t="shared" si="149"/>
        <v>-0.3016112789526687</v>
      </c>
      <c r="CC48" s="16"/>
      <c r="CD48" s="15" t="s">
        <v>5</v>
      </c>
      <c r="CE48" s="12">
        <v>1</v>
      </c>
      <c r="CF48" s="14">
        <v>6390</v>
      </c>
      <c r="CG48" s="12">
        <f t="shared" si="150"/>
        <v>-2</v>
      </c>
      <c r="CH48" s="14">
        <f t="shared" si="151"/>
        <v>-7480</v>
      </c>
      <c r="CI48" s="13">
        <f t="shared" si="152"/>
        <v>-0.53929343907714489</v>
      </c>
      <c r="CK48" s="16"/>
      <c r="CL48" s="15" t="s">
        <v>5</v>
      </c>
      <c r="CM48" s="12">
        <v>0</v>
      </c>
      <c r="CN48" s="14">
        <v>0</v>
      </c>
      <c r="CO48" s="12">
        <f t="shared" si="153"/>
        <v>-1</v>
      </c>
      <c r="CP48" s="14">
        <f t="shared" si="154"/>
        <v>-6390</v>
      </c>
      <c r="CQ48" s="13">
        <f t="shared" si="155"/>
        <v>-1</v>
      </c>
      <c r="CS48" s="16"/>
      <c r="CT48" s="15" t="s">
        <v>5</v>
      </c>
      <c r="CU48" s="12">
        <v>0</v>
      </c>
      <c r="CV48" s="14">
        <v>0</v>
      </c>
      <c r="CW48" s="12">
        <f t="shared" si="156"/>
        <v>0</v>
      </c>
      <c r="CX48" s="14">
        <f t="shared" si="157"/>
        <v>0</v>
      </c>
      <c r="CY48" s="13" t="e">
        <f t="shared" si="158"/>
        <v>#DIV/0!</v>
      </c>
    </row>
    <row r="49" spans="1:103" s="12" customFormat="1" ht="20" customHeight="1">
      <c r="A49" s="16"/>
      <c r="B49" s="15" t="s">
        <v>4</v>
      </c>
      <c r="C49" s="12">
        <v>5</v>
      </c>
      <c r="D49" s="14">
        <v>194285.71428568003</v>
      </c>
      <c r="F49" s="14"/>
      <c r="G49" s="13"/>
      <c r="I49" s="16"/>
      <c r="J49" s="15" t="s">
        <v>4</v>
      </c>
      <c r="K49" s="12">
        <v>2</v>
      </c>
      <c r="L49" s="14">
        <v>45625.714285709997</v>
      </c>
      <c r="M49" s="12">
        <f t="shared" si="123"/>
        <v>-3</v>
      </c>
      <c r="N49" s="14">
        <f t="shared" si="124"/>
        <v>-148659.99999997002</v>
      </c>
      <c r="O49" s="13">
        <f t="shared" si="125"/>
        <v>-0.76516176470586295</v>
      </c>
      <c r="Q49" s="16"/>
      <c r="R49" s="15" t="s">
        <v>4</v>
      </c>
      <c r="S49" s="12">
        <v>5</v>
      </c>
      <c r="T49" s="14">
        <v>181399.04761901998</v>
      </c>
      <c r="U49" s="12">
        <f t="shared" si="126"/>
        <v>3</v>
      </c>
      <c r="V49" s="14">
        <f t="shared" si="127"/>
        <v>135773.33333330997</v>
      </c>
      <c r="W49" s="13">
        <f t="shared" si="128"/>
        <v>2.9758072932971982</v>
      </c>
      <c r="Y49" s="16"/>
      <c r="Z49" s="15" t="s">
        <v>4</v>
      </c>
      <c r="AA49" s="12">
        <v>7</v>
      </c>
      <c r="AB49" s="14">
        <v>286671.4285714</v>
      </c>
      <c r="AC49" s="12">
        <f t="shared" si="129"/>
        <v>2</v>
      </c>
      <c r="AD49" s="14">
        <f t="shared" si="130"/>
        <v>105272.38095238002</v>
      </c>
      <c r="AE49" s="13">
        <f t="shared" si="131"/>
        <v>0.58033590768059817</v>
      </c>
      <c r="AG49" s="16"/>
      <c r="AH49" s="15" t="s">
        <v>4</v>
      </c>
      <c r="AI49" s="12">
        <v>6</v>
      </c>
      <c r="AJ49" s="14">
        <v>210820.95238094</v>
      </c>
      <c r="AK49" s="12">
        <f t="shared" si="132"/>
        <v>-1</v>
      </c>
      <c r="AL49" s="14">
        <f t="shared" si="133"/>
        <v>-75850.476190460002</v>
      </c>
      <c r="AM49" s="13">
        <f t="shared" si="134"/>
        <v>-0.26459028919782374</v>
      </c>
      <c r="AO49" s="16"/>
      <c r="AP49" s="15" t="s">
        <v>4</v>
      </c>
      <c r="AQ49" s="12">
        <v>3</v>
      </c>
      <c r="AR49" s="14">
        <v>138285.7142857</v>
      </c>
      <c r="AS49" s="12">
        <f t="shared" si="135"/>
        <v>-3</v>
      </c>
      <c r="AT49" s="14">
        <f t="shared" si="136"/>
        <v>-72535.238095239998</v>
      </c>
      <c r="AU49" s="13">
        <f t="shared" si="137"/>
        <v>-0.34406085958749233</v>
      </c>
      <c r="AW49" s="16"/>
      <c r="AX49" s="15" t="s">
        <v>4</v>
      </c>
      <c r="AY49" s="12">
        <v>4</v>
      </c>
      <c r="AZ49" s="14">
        <v>151523.80952379003</v>
      </c>
      <c r="BA49" s="12">
        <f t="shared" si="138"/>
        <v>1</v>
      </c>
      <c r="BB49" s="14">
        <f t="shared" si="139"/>
        <v>13238.095238090027</v>
      </c>
      <c r="BC49" s="13">
        <f t="shared" si="140"/>
        <v>9.5730027548181579E-2</v>
      </c>
      <c r="BE49" s="16"/>
      <c r="BF49" s="15" t="s">
        <v>4</v>
      </c>
      <c r="BG49" s="12">
        <v>0</v>
      </c>
      <c r="BH49" s="14">
        <v>0</v>
      </c>
      <c r="BI49" s="12">
        <f t="shared" si="141"/>
        <v>-4</v>
      </c>
      <c r="BJ49" s="14">
        <f t="shared" si="142"/>
        <v>-151523.80952379003</v>
      </c>
      <c r="BK49" s="13">
        <f t="shared" si="143"/>
        <v>-1</v>
      </c>
      <c r="BL49" s="35"/>
      <c r="BM49" s="16"/>
      <c r="BN49" s="15" t="s">
        <v>4</v>
      </c>
      <c r="BO49" s="12">
        <v>5</v>
      </c>
      <c r="BP49" s="14">
        <v>212241.90476189001</v>
      </c>
      <c r="BQ49" s="12">
        <f t="shared" si="144"/>
        <v>5</v>
      </c>
      <c r="BR49" s="14">
        <f t="shared" si="145"/>
        <v>212241.90476189001</v>
      </c>
      <c r="BS49" s="13" t="e">
        <f t="shared" si="146"/>
        <v>#DIV/0!</v>
      </c>
      <c r="BU49" s="16"/>
      <c r="BV49" s="15" t="s">
        <v>4</v>
      </c>
      <c r="BW49" s="12">
        <v>5</v>
      </c>
      <c r="BX49" s="14">
        <v>190578.09523807</v>
      </c>
      <c r="BY49" s="12">
        <f t="shared" si="147"/>
        <v>0</v>
      </c>
      <c r="BZ49" s="14">
        <f t="shared" si="148"/>
        <v>-21663.809523820004</v>
      </c>
      <c r="CA49" s="13">
        <f t="shared" si="149"/>
        <v>-0.10207131126213838</v>
      </c>
      <c r="CC49" s="16"/>
      <c r="CD49" s="15" t="s">
        <v>4</v>
      </c>
      <c r="CE49" s="12">
        <v>3</v>
      </c>
      <c r="CF49" s="14">
        <v>153047.61904761</v>
      </c>
      <c r="CG49" s="12">
        <f t="shared" si="150"/>
        <v>-2</v>
      </c>
      <c r="CH49" s="14">
        <f t="shared" si="151"/>
        <v>-37530.476190460002</v>
      </c>
      <c r="CI49" s="13">
        <f t="shared" si="152"/>
        <v>-0.19692964264112808</v>
      </c>
      <c r="CK49" s="16"/>
      <c r="CL49" s="15" t="s">
        <v>4</v>
      </c>
      <c r="CM49" s="12">
        <v>0</v>
      </c>
      <c r="CN49" s="14">
        <v>0</v>
      </c>
      <c r="CO49" s="12">
        <f t="shared" si="153"/>
        <v>-3</v>
      </c>
      <c r="CP49" s="14">
        <f t="shared" si="154"/>
        <v>-153047.61904761</v>
      </c>
      <c r="CQ49" s="13">
        <f t="shared" si="155"/>
        <v>-1</v>
      </c>
      <c r="CS49" s="16"/>
      <c r="CT49" s="15" t="s">
        <v>4</v>
      </c>
      <c r="CU49" s="12">
        <v>0</v>
      </c>
      <c r="CV49" s="14">
        <v>0</v>
      </c>
      <c r="CW49" s="12">
        <f t="shared" si="156"/>
        <v>0</v>
      </c>
      <c r="CX49" s="14">
        <f t="shared" si="157"/>
        <v>0</v>
      </c>
      <c r="CY49" s="13" t="e">
        <f t="shared" si="158"/>
        <v>#DIV/0!</v>
      </c>
    </row>
    <row r="50" spans="1:103" s="12" customFormat="1" ht="20" customHeight="1">
      <c r="A50" s="16"/>
      <c r="B50" s="15" t="s">
        <v>3</v>
      </c>
      <c r="C50" s="12">
        <v>19</v>
      </c>
      <c r="D50" s="14">
        <v>376761.90476186003</v>
      </c>
      <c r="F50" s="14"/>
      <c r="G50" s="13"/>
      <c r="I50" s="16"/>
      <c r="J50" s="15" t="s">
        <v>3</v>
      </c>
      <c r="K50" s="12">
        <v>9</v>
      </c>
      <c r="L50" s="14">
        <v>209933.33333328</v>
      </c>
      <c r="M50" s="12">
        <f t="shared" si="123"/>
        <v>-10</v>
      </c>
      <c r="N50" s="14">
        <f t="shared" si="124"/>
        <v>-166828.57142858003</v>
      </c>
      <c r="O50" s="13">
        <f t="shared" si="125"/>
        <v>-0.44279575328622306</v>
      </c>
      <c r="Q50" s="16"/>
      <c r="R50" s="15" t="s">
        <v>3</v>
      </c>
      <c r="S50" s="12">
        <v>13</v>
      </c>
      <c r="T50" s="14">
        <v>215238.09523804</v>
      </c>
      <c r="U50" s="12">
        <f t="shared" si="126"/>
        <v>4</v>
      </c>
      <c r="V50" s="14">
        <f t="shared" si="127"/>
        <v>5304.7619047600019</v>
      </c>
      <c r="W50" s="13">
        <f t="shared" si="128"/>
        <v>2.526879281404263E-2</v>
      </c>
      <c r="Y50" s="16"/>
      <c r="Z50" s="15" t="s">
        <v>3</v>
      </c>
      <c r="AA50" s="12">
        <v>18</v>
      </c>
      <c r="AB50" s="14">
        <v>324571.42857137998</v>
      </c>
      <c r="AC50" s="12">
        <f t="shared" si="129"/>
        <v>5</v>
      </c>
      <c r="AD50" s="14">
        <f t="shared" si="130"/>
        <v>109333.33333333998</v>
      </c>
      <c r="AE50" s="13">
        <f t="shared" si="131"/>
        <v>0.50796460177007274</v>
      </c>
      <c r="AG50" s="16"/>
      <c r="AH50" s="15" t="s">
        <v>3</v>
      </c>
      <c r="AI50" s="12">
        <v>30</v>
      </c>
      <c r="AJ50" s="14">
        <v>559619.04761898005</v>
      </c>
      <c r="AK50" s="12">
        <f t="shared" si="132"/>
        <v>12</v>
      </c>
      <c r="AL50" s="14">
        <f t="shared" si="133"/>
        <v>235047.61904760008</v>
      </c>
      <c r="AM50" s="13">
        <f t="shared" si="134"/>
        <v>0.72417840375591858</v>
      </c>
      <c r="AO50" s="16"/>
      <c r="AP50" s="15" t="s">
        <v>3</v>
      </c>
      <c r="AQ50" s="12">
        <v>22</v>
      </c>
      <c r="AR50" s="14">
        <v>422571.42857137998</v>
      </c>
      <c r="AS50" s="12">
        <f t="shared" si="135"/>
        <v>-8</v>
      </c>
      <c r="AT50" s="14">
        <f t="shared" si="136"/>
        <v>-137047.61904760008</v>
      </c>
      <c r="AU50" s="13">
        <f t="shared" si="137"/>
        <v>-0.2448944860449242</v>
      </c>
      <c r="AW50" s="16"/>
      <c r="AX50" s="15" t="s">
        <v>3</v>
      </c>
      <c r="AY50" s="12">
        <v>14</v>
      </c>
      <c r="AZ50" s="14">
        <v>236285.71428568999</v>
      </c>
      <c r="BA50" s="12">
        <f t="shared" si="138"/>
        <v>-8</v>
      </c>
      <c r="BB50" s="14">
        <f t="shared" si="139"/>
        <v>-186285.71428568999</v>
      </c>
      <c r="BC50" s="13">
        <f t="shared" si="140"/>
        <v>-0.44083840432724136</v>
      </c>
      <c r="BE50" s="16"/>
      <c r="BF50" s="15" t="s">
        <v>3</v>
      </c>
      <c r="BG50" s="12">
        <v>20</v>
      </c>
      <c r="BH50" s="14">
        <v>367047.61904754007</v>
      </c>
      <c r="BI50" s="12">
        <f t="shared" si="141"/>
        <v>6</v>
      </c>
      <c r="BJ50" s="14">
        <f t="shared" si="142"/>
        <v>130761.90476185008</v>
      </c>
      <c r="BK50" s="13">
        <f t="shared" si="143"/>
        <v>0.55340588472372709</v>
      </c>
      <c r="BL50" s="35"/>
      <c r="BM50" s="16"/>
      <c r="BN50" s="15" t="s">
        <v>3</v>
      </c>
      <c r="BO50" s="12">
        <v>8</v>
      </c>
      <c r="BP50" s="14">
        <v>154285.71428568001</v>
      </c>
      <c r="BQ50" s="12">
        <f t="shared" si="144"/>
        <v>-12</v>
      </c>
      <c r="BR50" s="14">
        <f t="shared" si="145"/>
        <v>-212761.90476186006</v>
      </c>
      <c r="BS50" s="13">
        <f t="shared" si="146"/>
        <v>-0.5796574987026496</v>
      </c>
      <c r="BU50" s="16"/>
      <c r="BV50" s="15" t="s">
        <v>3</v>
      </c>
      <c r="BW50" s="12">
        <v>16</v>
      </c>
      <c r="BX50" s="14">
        <v>307238.09523803997</v>
      </c>
      <c r="BY50" s="12">
        <f t="shared" si="147"/>
        <v>8</v>
      </c>
      <c r="BZ50" s="14">
        <f t="shared" si="148"/>
        <v>152952.38095235996</v>
      </c>
      <c r="CA50" s="13">
        <f t="shared" si="149"/>
        <v>0.9913580246914423</v>
      </c>
      <c r="CC50" s="16"/>
      <c r="CD50" s="15" t="s">
        <v>3</v>
      </c>
      <c r="CE50" s="12">
        <v>12</v>
      </c>
      <c r="CF50" s="14">
        <v>218476.19047614999</v>
      </c>
      <c r="CG50" s="12">
        <f t="shared" si="150"/>
        <v>-4</v>
      </c>
      <c r="CH50" s="14">
        <f t="shared" si="151"/>
        <v>-88761.904761889979</v>
      </c>
      <c r="CI50" s="13">
        <f t="shared" si="152"/>
        <v>-0.28890266584005347</v>
      </c>
      <c r="CK50" s="16"/>
      <c r="CL50" s="15" t="s">
        <v>3</v>
      </c>
      <c r="CM50" s="12">
        <v>11</v>
      </c>
      <c r="CN50" s="14">
        <v>218190.47619044001</v>
      </c>
      <c r="CO50" s="12">
        <f t="shared" si="153"/>
        <v>-1</v>
      </c>
      <c r="CP50" s="14">
        <f t="shared" si="154"/>
        <v>-285.71428570998251</v>
      </c>
      <c r="CQ50" s="13">
        <f t="shared" si="155"/>
        <v>-1.3077593722560471E-3</v>
      </c>
      <c r="CS50" s="16"/>
      <c r="CT50" s="15" t="s">
        <v>3</v>
      </c>
      <c r="CU50" s="12">
        <v>4</v>
      </c>
      <c r="CV50" s="14">
        <v>92095.238095220004</v>
      </c>
      <c r="CW50" s="12">
        <f t="shared" si="156"/>
        <v>-7</v>
      </c>
      <c r="CX50" s="14">
        <f t="shared" si="157"/>
        <v>-126095.23809522</v>
      </c>
      <c r="CY50" s="13">
        <f t="shared" si="158"/>
        <v>-0.57791357485815342</v>
      </c>
    </row>
    <row r="51" spans="1:103" s="12" customFormat="1" ht="20" customHeight="1">
      <c r="A51" s="16"/>
      <c r="B51" s="15" t="s">
        <v>2</v>
      </c>
      <c r="C51" s="12">
        <v>24</v>
      </c>
      <c r="D51" s="14">
        <v>890095.23809517012</v>
      </c>
      <c r="F51" s="14"/>
      <c r="G51" s="13"/>
      <c r="I51" s="16"/>
      <c r="J51" s="15" t="s">
        <v>2</v>
      </c>
      <c r="K51" s="12">
        <v>22</v>
      </c>
      <c r="L51" s="14">
        <v>821714.28571423993</v>
      </c>
      <c r="M51" s="12">
        <f t="shared" si="123"/>
        <v>-2</v>
      </c>
      <c r="N51" s="14">
        <f t="shared" si="124"/>
        <v>-68380.95238093019</v>
      </c>
      <c r="O51" s="13">
        <f t="shared" si="125"/>
        <v>-7.6824309865163906E-2</v>
      </c>
      <c r="Q51" s="16"/>
      <c r="R51" s="15" t="s">
        <v>2</v>
      </c>
      <c r="S51" s="12">
        <v>25</v>
      </c>
      <c r="T51" s="14">
        <v>922380.95238091005</v>
      </c>
      <c r="U51" s="12">
        <f t="shared" si="126"/>
        <v>3</v>
      </c>
      <c r="V51" s="14">
        <f t="shared" si="127"/>
        <v>100666.66666667012</v>
      </c>
      <c r="W51" s="13">
        <f t="shared" si="128"/>
        <v>0.12250811312008521</v>
      </c>
      <c r="Y51" s="16"/>
      <c r="Z51" s="15" t="s">
        <v>2</v>
      </c>
      <c r="AA51" s="12">
        <v>45</v>
      </c>
      <c r="AB51" s="14">
        <v>1643333.3333332601</v>
      </c>
      <c r="AC51" s="12">
        <f t="shared" si="129"/>
        <v>20</v>
      </c>
      <c r="AD51" s="14">
        <f t="shared" si="130"/>
        <v>720952.3809523501</v>
      </c>
      <c r="AE51" s="13">
        <f t="shared" si="131"/>
        <v>0.7816210635002605</v>
      </c>
      <c r="AG51" s="16"/>
      <c r="AH51" s="15" t="s">
        <v>2</v>
      </c>
      <c r="AI51" s="12">
        <v>70</v>
      </c>
      <c r="AJ51" s="14">
        <v>2547358.0952379904</v>
      </c>
      <c r="AK51" s="12">
        <f t="shared" si="132"/>
        <v>25</v>
      </c>
      <c r="AL51" s="14">
        <f t="shared" si="133"/>
        <v>904024.76190473023</v>
      </c>
      <c r="AM51" s="13">
        <f t="shared" si="134"/>
        <v>0.55011648797450541</v>
      </c>
      <c r="AO51" s="16"/>
      <c r="AP51" s="15" t="s">
        <v>2</v>
      </c>
      <c r="AQ51" s="12">
        <v>28</v>
      </c>
      <c r="AR51" s="14">
        <v>1011140.95238089</v>
      </c>
      <c r="AS51" s="12">
        <f t="shared" si="135"/>
        <v>-42</v>
      </c>
      <c r="AT51" s="14">
        <f t="shared" si="136"/>
        <v>-1536217.1428571003</v>
      </c>
      <c r="AU51" s="13">
        <f t="shared" si="137"/>
        <v>-0.60306289317112172</v>
      </c>
      <c r="AW51" s="16"/>
      <c r="AX51" s="15" t="s">
        <v>2</v>
      </c>
      <c r="AY51" s="12">
        <v>22</v>
      </c>
      <c r="AZ51" s="14">
        <v>813240.95238089003</v>
      </c>
      <c r="BA51" s="12">
        <f t="shared" si="138"/>
        <v>-6</v>
      </c>
      <c r="BB51" s="14">
        <f t="shared" si="139"/>
        <v>-197900</v>
      </c>
      <c r="BC51" s="13">
        <f t="shared" si="140"/>
        <v>-0.19571949838844269</v>
      </c>
      <c r="BE51" s="16"/>
      <c r="BF51" s="15" t="s">
        <v>2</v>
      </c>
      <c r="BG51" s="12">
        <v>20</v>
      </c>
      <c r="BH51" s="14">
        <v>742346.66666661005</v>
      </c>
      <c r="BI51" s="12">
        <f t="shared" si="141"/>
        <v>-2</v>
      </c>
      <c r="BJ51" s="14">
        <f t="shared" si="142"/>
        <v>-70894.285714279977</v>
      </c>
      <c r="BK51" s="13">
        <f t="shared" si="143"/>
        <v>-8.7175006997281521E-2</v>
      </c>
      <c r="BL51" s="35"/>
      <c r="BM51" s="16"/>
      <c r="BN51" s="15" t="s">
        <v>2</v>
      </c>
      <c r="BO51" s="12">
        <v>16</v>
      </c>
      <c r="BP51" s="14">
        <v>471287.61904756993</v>
      </c>
      <c r="BQ51" s="12">
        <f t="shared" si="144"/>
        <v>-4</v>
      </c>
      <c r="BR51" s="14">
        <f t="shared" si="145"/>
        <v>-271059.04761904012</v>
      </c>
      <c r="BS51" s="13">
        <f t="shared" si="146"/>
        <v>-0.36513809489599758</v>
      </c>
      <c r="BU51" s="16"/>
      <c r="BV51" s="15" t="s">
        <v>2</v>
      </c>
      <c r="BW51" s="12">
        <v>22</v>
      </c>
      <c r="BX51" s="14">
        <v>762875.23809516989</v>
      </c>
      <c r="BY51" s="12">
        <f t="shared" si="147"/>
        <v>6</v>
      </c>
      <c r="BZ51" s="14">
        <f t="shared" si="148"/>
        <v>291587.61904759996</v>
      </c>
      <c r="CA51" s="13">
        <f t="shared" si="149"/>
        <v>0.61870417821896617</v>
      </c>
      <c r="CC51" s="16"/>
      <c r="CD51" s="15" t="s">
        <v>2</v>
      </c>
      <c r="CE51" s="12">
        <v>25</v>
      </c>
      <c r="CF51" s="14">
        <v>836764.76190468995</v>
      </c>
      <c r="CG51" s="12">
        <f t="shared" si="150"/>
        <v>3</v>
      </c>
      <c r="CH51" s="14">
        <f t="shared" si="151"/>
        <v>73889.523809520062</v>
      </c>
      <c r="CI51" s="13">
        <f t="shared" si="152"/>
        <v>9.6856628868981887E-2</v>
      </c>
      <c r="CK51" s="16"/>
      <c r="CL51" s="15" t="s">
        <v>2</v>
      </c>
      <c r="CM51" s="12">
        <v>18</v>
      </c>
      <c r="CN51" s="14">
        <v>527627.61904757004</v>
      </c>
      <c r="CO51" s="12">
        <f t="shared" si="153"/>
        <v>-7</v>
      </c>
      <c r="CP51" s="14">
        <f t="shared" si="154"/>
        <v>-309137.14285711991</v>
      </c>
      <c r="CQ51" s="13">
        <f t="shared" si="155"/>
        <v>-0.36944330943555148</v>
      </c>
      <c r="CS51" s="16"/>
      <c r="CT51" s="15" t="s">
        <v>2</v>
      </c>
      <c r="CU51" s="12">
        <v>4</v>
      </c>
      <c r="CV51" s="14">
        <v>138190.47619046</v>
      </c>
      <c r="CW51" s="12">
        <f t="shared" si="156"/>
        <v>-14</v>
      </c>
      <c r="CX51" s="14">
        <f t="shared" si="157"/>
        <v>-389437.14285711001</v>
      </c>
      <c r="CY51" s="13">
        <f t="shared" si="158"/>
        <v>-0.73809089744030054</v>
      </c>
    </row>
    <row r="52" spans="1:103" s="1" customFormat="1" ht="20" customHeight="1">
      <c r="A52" s="11" t="s">
        <v>11</v>
      </c>
      <c r="B52" s="11"/>
      <c r="C52" s="10">
        <v>269</v>
      </c>
      <c r="D52" s="9">
        <v>1873479.0476183603</v>
      </c>
      <c r="E52" s="29"/>
      <c r="F52" s="30"/>
      <c r="G52" s="31"/>
      <c r="I52" s="11" t="s">
        <v>11</v>
      </c>
      <c r="J52" s="11"/>
      <c r="K52" s="10">
        <v>253</v>
      </c>
      <c r="L52" s="9">
        <v>1515190.4761898997</v>
      </c>
      <c r="M52" s="10">
        <f t="shared" si="123"/>
        <v>-16</v>
      </c>
      <c r="N52" s="9">
        <f t="shared" si="124"/>
        <v>-358288.57142846053</v>
      </c>
      <c r="O52" s="8">
        <f t="shared" si="125"/>
        <v>-0.19124236904807179</v>
      </c>
      <c r="Q52" s="11" t="s">
        <v>11</v>
      </c>
      <c r="R52" s="11"/>
      <c r="S52" s="10">
        <v>243</v>
      </c>
      <c r="T52" s="9">
        <v>1804968.57142799</v>
      </c>
      <c r="U52" s="10">
        <f t="shared" si="126"/>
        <v>-10</v>
      </c>
      <c r="V52" s="9">
        <f t="shared" si="127"/>
        <v>289778.09523809026</v>
      </c>
      <c r="W52" s="8">
        <f t="shared" si="128"/>
        <v>0.19124862503542572</v>
      </c>
      <c r="Y52" s="11" t="s">
        <v>11</v>
      </c>
      <c r="Z52" s="11"/>
      <c r="AA52" s="10">
        <v>360</v>
      </c>
      <c r="AB52" s="9">
        <v>2882980.9523801496</v>
      </c>
      <c r="AC52" s="10">
        <f t="shared" si="129"/>
        <v>117</v>
      </c>
      <c r="AD52" s="9">
        <f t="shared" si="130"/>
        <v>1078012.3809521596</v>
      </c>
      <c r="AE52" s="8">
        <f t="shared" si="131"/>
        <v>0.59724717538948424</v>
      </c>
      <c r="AG52" s="11" t="s">
        <v>11</v>
      </c>
      <c r="AH52" s="11"/>
      <c r="AI52" s="10">
        <v>585</v>
      </c>
      <c r="AJ52" s="9">
        <v>4425874.7619036203</v>
      </c>
      <c r="AK52" s="10">
        <f t="shared" si="132"/>
        <v>225</v>
      </c>
      <c r="AL52" s="9">
        <f t="shared" si="133"/>
        <v>1542893.8095234707</v>
      </c>
      <c r="AM52" s="8">
        <f t="shared" si="134"/>
        <v>0.5351730847370596</v>
      </c>
      <c r="AO52" s="11" t="s">
        <v>11</v>
      </c>
      <c r="AP52" s="11"/>
      <c r="AQ52" s="10">
        <v>281</v>
      </c>
      <c r="AR52" s="9">
        <v>2162637.1428564601</v>
      </c>
      <c r="AS52" s="10">
        <f t="shared" si="135"/>
        <v>-304</v>
      </c>
      <c r="AT52" s="9">
        <f t="shared" si="136"/>
        <v>-2263237.6190471603</v>
      </c>
      <c r="AU52" s="8">
        <f t="shared" si="137"/>
        <v>-0.5113650387327533</v>
      </c>
      <c r="AW52" s="11" t="s">
        <v>11</v>
      </c>
      <c r="AX52" s="11"/>
      <c r="AY52" s="10">
        <v>216</v>
      </c>
      <c r="AZ52" s="9">
        <v>1611762.3809518199</v>
      </c>
      <c r="BA52" s="10">
        <f t="shared" si="138"/>
        <v>-65</v>
      </c>
      <c r="BB52" s="9">
        <f t="shared" si="139"/>
        <v>-550874.76190464012</v>
      </c>
      <c r="BC52" s="8">
        <f t="shared" si="140"/>
        <v>-0.25472362006001259</v>
      </c>
      <c r="BE52" s="11" t="s">
        <v>11</v>
      </c>
      <c r="BF52" s="11"/>
      <c r="BG52" s="10">
        <v>263</v>
      </c>
      <c r="BH52" s="9">
        <v>1605104.7619040799</v>
      </c>
      <c r="BI52" s="10">
        <f t="shared" si="141"/>
        <v>47</v>
      </c>
      <c r="BJ52" s="9">
        <f t="shared" si="142"/>
        <v>-6657.6190477400087</v>
      </c>
      <c r="BK52" s="8">
        <f t="shared" si="143"/>
        <v>-4.1306455135206579E-3</v>
      </c>
      <c r="BL52" s="37"/>
      <c r="BM52" s="11" t="s">
        <v>11</v>
      </c>
      <c r="BN52" s="11"/>
      <c r="BO52" s="10">
        <v>237</v>
      </c>
      <c r="BP52" s="9">
        <v>1309006.66666605</v>
      </c>
      <c r="BQ52" s="10">
        <f t="shared" si="144"/>
        <v>-26</v>
      </c>
      <c r="BR52" s="9">
        <f t="shared" si="145"/>
        <v>-296098.09523802996</v>
      </c>
      <c r="BS52" s="8">
        <f t="shared" si="146"/>
        <v>-0.18447275359570867</v>
      </c>
      <c r="BU52" s="11" t="s">
        <v>11</v>
      </c>
      <c r="BV52" s="11"/>
      <c r="BW52" s="10">
        <v>241</v>
      </c>
      <c r="BX52" s="9">
        <v>1778656.6666660598</v>
      </c>
      <c r="BY52" s="10">
        <f t="shared" si="147"/>
        <v>4</v>
      </c>
      <c r="BZ52" s="9">
        <f t="shared" si="148"/>
        <v>469650.00000000978</v>
      </c>
      <c r="CA52" s="8">
        <f t="shared" si="149"/>
        <v>0.35878350504980699</v>
      </c>
      <c r="CC52" s="11" t="s">
        <v>11</v>
      </c>
      <c r="CD52" s="11"/>
      <c r="CE52" s="10">
        <v>232</v>
      </c>
      <c r="CF52" s="9">
        <v>1595786.1904756501</v>
      </c>
      <c r="CG52" s="10">
        <f t="shared" si="150"/>
        <v>-9</v>
      </c>
      <c r="CH52" s="9">
        <f t="shared" si="151"/>
        <v>-182870.47619040962</v>
      </c>
      <c r="CI52" s="8">
        <f t="shared" si="152"/>
        <v>-0.10281381427770697</v>
      </c>
      <c r="CK52" s="11" t="s">
        <v>11</v>
      </c>
      <c r="CL52" s="11"/>
      <c r="CM52" s="10">
        <v>201</v>
      </c>
      <c r="CN52" s="9">
        <v>1146156.1904756201</v>
      </c>
      <c r="CO52" s="10">
        <f t="shared" si="153"/>
        <v>-31</v>
      </c>
      <c r="CP52" s="9">
        <f t="shared" si="154"/>
        <v>-449630.00000003004</v>
      </c>
      <c r="CQ52" s="8">
        <f t="shared" si="155"/>
        <v>-0.28176080397462927</v>
      </c>
      <c r="CS52" s="11" t="s">
        <v>11</v>
      </c>
      <c r="CT52" s="11"/>
      <c r="CU52" s="10">
        <v>115</v>
      </c>
      <c r="CV52" s="9">
        <v>452596.19047590008</v>
      </c>
      <c r="CW52" s="10">
        <f t="shared" si="156"/>
        <v>-86</v>
      </c>
      <c r="CX52" s="9">
        <f t="shared" si="157"/>
        <v>-693559.99999972002</v>
      </c>
      <c r="CY52" s="8">
        <f t="shared" si="158"/>
        <v>-0.60511822538943283</v>
      </c>
    </row>
    <row r="53" spans="1:103" s="50" customFormat="1" ht="22" customHeight="1">
      <c r="A53" s="16">
        <v>84</v>
      </c>
      <c r="B53" s="34" t="s">
        <v>45</v>
      </c>
      <c r="C53" s="47"/>
      <c r="D53" s="1"/>
      <c r="E53" s="48"/>
      <c r="F53" s="48"/>
      <c r="G53" s="48"/>
      <c r="H53" s="1"/>
      <c r="I53" s="16">
        <v>84</v>
      </c>
      <c r="J53" s="34" t="s">
        <v>45</v>
      </c>
      <c r="K53" s="47"/>
      <c r="L53" s="1"/>
      <c r="M53" s="12">
        <f t="shared" si="123"/>
        <v>0</v>
      </c>
      <c r="N53" s="14">
        <f t="shared" si="124"/>
        <v>0</v>
      </c>
      <c r="O53" s="13" t="e">
        <f t="shared" si="125"/>
        <v>#DIV/0!</v>
      </c>
      <c r="P53" s="1"/>
      <c r="Q53" s="16">
        <v>84</v>
      </c>
      <c r="R53" s="34" t="s">
        <v>45</v>
      </c>
      <c r="S53" s="47"/>
      <c r="T53" s="1"/>
      <c r="U53" s="12">
        <f t="shared" si="126"/>
        <v>0</v>
      </c>
      <c r="V53" s="14">
        <f t="shared" si="127"/>
        <v>0</v>
      </c>
      <c r="W53" s="13" t="e">
        <f t="shared" si="128"/>
        <v>#DIV/0!</v>
      </c>
      <c r="X53" s="1"/>
      <c r="Y53" s="16">
        <v>84</v>
      </c>
      <c r="Z53" s="34" t="s">
        <v>45</v>
      </c>
      <c r="AA53" s="47"/>
      <c r="AB53" s="1"/>
      <c r="AC53" s="12">
        <f t="shared" si="129"/>
        <v>0</v>
      </c>
      <c r="AD53" s="14">
        <f t="shared" si="130"/>
        <v>0</v>
      </c>
      <c r="AE53" s="13" t="e">
        <f t="shared" si="131"/>
        <v>#DIV/0!</v>
      </c>
      <c r="AF53" s="1"/>
      <c r="AG53" s="16">
        <v>84</v>
      </c>
      <c r="AH53" s="34" t="s">
        <v>45</v>
      </c>
      <c r="AI53" s="47"/>
      <c r="AJ53" s="1"/>
      <c r="AK53" s="12">
        <f t="shared" si="132"/>
        <v>0</v>
      </c>
      <c r="AL53" s="14">
        <f t="shared" si="133"/>
        <v>0</v>
      </c>
      <c r="AM53" s="13" t="e">
        <f t="shared" si="134"/>
        <v>#DIV/0!</v>
      </c>
      <c r="AN53" s="1"/>
      <c r="AO53" s="16">
        <v>84</v>
      </c>
      <c r="AP53" s="34" t="s">
        <v>45</v>
      </c>
      <c r="AQ53" s="47"/>
      <c r="AR53" s="1"/>
      <c r="AS53" s="12">
        <f t="shared" si="135"/>
        <v>0</v>
      </c>
      <c r="AT53" s="14">
        <f t="shared" si="136"/>
        <v>0</v>
      </c>
      <c r="AU53" s="13" t="e">
        <f t="shared" si="137"/>
        <v>#DIV/0!</v>
      </c>
      <c r="AV53" s="1"/>
      <c r="AW53" s="16">
        <v>84</v>
      </c>
      <c r="AX53" s="34" t="s">
        <v>45</v>
      </c>
      <c r="AY53" s="47"/>
      <c r="AZ53" s="1"/>
      <c r="BA53" s="12">
        <f t="shared" si="138"/>
        <v>0</v>
      </c>
      <c r="BB53" s="14">
        <f t="shared" si="139"/>
        <v>0</v>
      </c>
      <c r="BC53" s="13" t="e">
        <f t="shared" si="140"/>
        <v>#DIV/0!</v>
      </c>
      <c r="BD53" s="49"/>
      <c r="BE53" s="16">
        <v>84</v>
      </c>
      <c r="BF53" s="34" t="s">
        <v>45</v>
      </c>
      <c r="BG53" s="17"/>
      <c r="BH53" s="39"/>
      <c r="BI53" s="12">
        <f t="shared" si="141"/>
        <v>0</v>
      </c>
      <c r="BJ53" s="14">
        <f t="shared" si="142"/>
        <v>0</v>
      </c>
      <c r="BK53" s="13" t="e">
        <f t="shared" si="143"/>
        <v>#DIV/0!</v>
      </c>
      <c r="BL53" s="49"/>
      <c r="BM53" s="16">
        <v>84</v>
      </c>
      <c r="BN53" s="34" t="s">
        <v>45</v>
      </c>
      <c r="BO53" s="17"/>
      <c r="BP53" s="39"/>
      <c r="BQ53" s="12">
        <f t="shared" si="144"/>
        <v>0</v>
      </c>
      <c r="BR53" s="14">
        <f t="shared" si="145"/>
        <v>0</v>
      </c>
      <c r="BS53" s="13" t="e">
        <f t="shared" si="146"/>
        <v>#DIV/0!</v>
      </c>
      <c r="BU53" s="16">
        <v>84</v>
      </c>
      <c r="BV53" s="34" t="s">
        <v>45</v>
      </c>
      <c r="CC53" s="16">
        <v>84</v>
      </c>
      <c r="CD53" s="34" t="s">
        <v>45</v>
      </c>
      <c r="CK53" s="16">
        <v>84</v>
      </c>
      <c r="CL53" s="34" t="s">
        <v>45</v>
      </c>
      <c r="CS53" s="16">
        <v>84</v>
      </c>
      <c r="CT53" s="34" t="s">
        <v>45</v>
      </c>
    </row>
    <row r="54" spans="1:103" s="17" customFormat="1" ht="22" customHeight="1">
      <c r="A54" s="16"/>
      <c r="B54" s="34" t="s">
        <v>46</v>
      </c>
      <c r="D54" s="39"/>
      <c r="E54" s="40"/>
      <c r="F54" s="40"/>
      <c r="G54" s="40"/>
      <c r="I54" s="16"/>
      <c r="J54" s="34" t="s">
        <v>46</v>
      </c>
      <c r="L54" s="39"/>
      <c r="M54" s="12"/>
      <c r="N54" s="14"/>
      <c r="O54" s="13"/>
      <c r="Q54" s="16"/>
      <c r="R54" s="34" t="s">
        <v>46</v>
      </c>
      <c r="T54" s="39"/>
      <c r="U54" s="12"/>
      <c r="V54" s="14"/>
      <c r="W54" s="13"/>
      <c r="Y54" s="16"/>
      <c r="Z54" s="34" t="s">
        <v>46</v>
      </c>
      <c r="AB54" s="39"/>
      <c r="AC54" s="12"/>
      <c r="AD54" s="14"/>
      <c r="AE54" s="13"/>
      <c r="AG54" s="16"/>
      <c r="AH54" s="34" t="s">
        <v>46</v>
      </c>
      <c r="AJ54" s="39"/>
      <c r="AK54" s="12"/>
      <c r="AL54" s="14"/>
      <c r="AM54" s="13"/>
      <c r="AO54" s="16"/>
      <c r="AP54" s="34" t="s">
        <v>46</v>
      </c>
      <c r="AR54" s="39"/>
      <c r="AS54" s="12"/>
      <c r="AT54" s="14"/>
      <c r="AU54" s="13"/>
      <c r="AW54" s="16"/>
      <c r="AX54" s="34" t="s">
        <v>46</v>
      </c>
      <c r="AZ54" s="39"/>
      <c r="BA54" s="12"/>
      <c r="BB54" s="14"/>
      <c r="BC54" s="13"/>
      <c r="BE54" s="16"/>
      <c r="BF54" s="34" t="s">
        <v>46</v>
      </c>
      <c r="BH54" s="39"/>
      <c r="BI54" s="12"/>
      <c r="BJ54" s="14"/>
      <c r="BK54" s="13"/>
      <c r="BM54" s="16"/>
      <c r="BN54" s="34" t="s">
        <v>46</v>
      </c>
      <c r="BP54" s="39"/>
      <c r="BQ54" s="12"/>
      <c r="BR54" s="14"/>
      <c r="BS54" s="13"/>
      <c r="BU54" s="16"/>
      <c r="BV54" s="34" t="s">
        <v>46</v>
      </c>
      <c r="CC54" s="16"/>
      <c r="CD54" s="34" t="s">
        <v>46</v>
      </c>
      <c r="CK54" s="16"/>
      <c r="CL54" s="34" t="s">
        <v>46</v>
      </c>
      <c r="CS54" s="16"/>
      <c r="CT54" s="34" t="s">
        <v>46</v>
      </c>
    </row>
    <row r="55" spans="1:103" s="12" customFormat="1" ht="20" customHeight="1">
      <c r="A55" s="42"/>
      <c r="B55" s="15" t="s">
        <v>10</v>
      </c>
      <c r="C55" s="12">
        <v>150</v>
      </c>
      <c r="D55" s="14">
        <v>147569.52380897003</v>
      </c>
      <c r="F55" s="14"/>
      <c r="G55" s="13"/>
      <c r="I55" s="42"/>
      <c r="J55" s="15" t="s">
        <v>10</v>
      </c>
      <c r="K55" s="12">
        <v>102</v>
      </c>
      <c r="L55" s="14">
        <v>103088.57142821001</v>
      </c>
      <c r="M55" s="12">
        <f t="shared" ref="M55:M65" si="159">K55-C55</f>
        <v>-48</v>
      </c>
      <c r="N55" s="14">
        <f t="shared" ref="N55:N65" si="160">L55-D55</f>
        <v>-44480.95238076002</v>
      </c>
      <c r="O55" s="13">
        <f t="shared" ref="O55:O65" si="161">(L55-D55)/D55</f>
        <v>-0.30142370343581903</v>
      </c>
      <c r="Q55" s="42"/>
      <c r="R55" s="15" t="s">
        <v>10</v>
      </c>
      <c r="S55" s="12">
        <v>96</v>
      </c>
      <c r="T55" s="14">
        <v>92372.380951970001</v>
      </c>
      <c r="U55" s="12">
        <f t="shared" ref="U55:U65" si="162">S55-K55</f>
        <v>-6</v>
      </c>
      <c r="V55" s="14">
        <f t="shared" ref="V55:V65" si="163">T55-L55</f>
        <v>-10716.190476240008</v>
      </c>
      <c r="W55" s="13">
        <f t="shared" ref="W55:W65" si="164">(T55-L55)/L55</f>
        <v>-0.10395129477279323</v>
      </c>
      <c r="Y55" s="42"/>
      <c r="Z55" s="15" t="s">
        <v>10</v>
      </c>
      <c r="AA55" s="12">
        <v>145</v>
      </c>
      <c r="AB55" s="14">
        <v>149259.04761849999</v>
      </c>
      <c r="AC55" s="12">
        <f t="shared" ref="AC55:AC65" si="165">AA55-S55</f>
        <v>49</v>
      </c>
      <c r="AD55" s="14">
        <f t="shared" ref="AD55:AD65" si="166">AB55-T55</f>
        <v>56886.666666529985</v>
      </c>
      <c r="AE55" s="13">
        <f t="shared" ref="AE55:AE65" si="167">(AB55-T55)/T55</f>
        <v>0.61584064500955982</v>
      </c>
      <c r="AG55" s="42"/>
      <c r="AH55" s="15" t="s">
        <v>10</v>
      </c>
      <c r="AI55" s="12">
        <v>240</v>
      </c>
      <c r="AJ55" s="14">
        <v>251074.28571343009</v>
      </c>
      <c r="AK55" s="12">
        <f t="shared" ref="AK55:AK65" si="168">AI55-AA55</f>
        <v>95</v>
      </c>
      <c r="AL55" s="14">
        <f t="shared" ref="AL55:AL65" si="169">AJ55-AB55</f>
        <v>101815.2380949301</v>
      </c>
      <c r="AM55" s="13">
        <f t="shared" ref="AM55:AM65" si="170">(AJ55-AB55)/AB55</f>
        <v>0.68213779813981978</v>
      </c>
      <c r="AO55" s="42"/>
      <c r="AP55" s="15" t="s">
        <v>10</v>
      </c>
      <c r="AQ55" s="12">
        <v>125</v>
      </c>
      <c r="AR55" s="14">
        <v>131815.23809479995</v>
      </c>
      <c r="AS55" s="12">
        <f t="shared" ref="AS55:AS65" si="171">AQ55-AI55</f>
        <v>-115</v>
      </c>
      <c r="AT55" s="14">
        <f t="shared" ref="AT55:AT65" si="172">AR55-AJ55</f>
        <v>-119259.04761863014</v>
      </c>
      <c r="AU55" s="13">
        <f t="shared" ref="AU55:AU65" si="173">(AR55-AJ55)/AJ55</f>
        <v>-0.47499506880903541</v>
      </c>
      <c r="AW55" s="42"/>
      <c r="AX55" s="15" t="s">
        <v>10</v>
      </c>
      <c r="AY55" s="12">
        <v>130</v>
      </c>
      <c r="AZ55" s="14">
        <v>122506.66666615994</v>
      </c>
      <c r="BA55" s="12">
        <f t="shared" ref="BA55:BA65" si="174">AY55-AQ55</f>
        <v>5</v>
      </c>
      <c r="BB55" s="14">
        <f t="shared" ref="BB55:BB65" si="175">AZ55-AR55</f>
        <v>-9308.5714286400034</v>
      </c>
      <c r="BC55" s="13">
        <f t="shared" ref="BC55:BC65" si="176">(AZ55-AR55)/AR55</f>
        <v>-7.0618325795879455E-2</v>
      </c>
      <c r="BE55" s="42"/>
      <c r="BF55" s="15" t="s">
        <v>10</v>
      </c>
      <c r="BG55" s="12">
        <v>153</v>
      </c>
      <c r="BH55" s="14">
        <v>165119.99999948998</v>
      </c>
      <c r="BI55" s="12">
        <f t="shared" ref="BI55:BI65" si="177">BG55-AY55</f>
        <v>23</v>
      </c>
      <c r="BJ55" s="14">
        <f t="shared" ref="BJ55:BJ65" si="178">BH55-AZ55</f>
        <v>42613.33333333004</v>
      </c>
      <c r="BK55" s="13">
        <f t="shared" ref="BK55:BK65" si="179">(BH55-AZ55)/AZ55</f>
        <v>0.34784501523867789</v>
      </c>
      <c r="BL55" s="35"/>
      <c r="BM55" s="42"/>
      <c r="BN55" s="15" t="s">
        <v>10</v>
      </c>
      <c r="BO55" s="12">
        <v>96</v>
      </c>
      <c r="BP55" s="14">
        <v>86798.095237739995</v>
      </c>
      <c r="BQ55" s="12">
        <f t="shared" ref="BQ55:BQ65" si="180">BO55-BG55</f>
        <v>-57</v>
      </c>
      <c r="BR55" s="14">
        <f t="shared" ref="BR55:BR65" si="181">BP55-BH55</f>
        <v>-78321.904761749989</v>
      </c>
      <c r="BS55" s="13">
        <f t="shared" ref="BS55:BS65" si="182">(BP55-BH55)/BH55</f>
        <v>-0.47433324104888508</v>
      </c>
      <c r="BU55" s="42"/>
      <c r="BV55" s="15" t="s">
        <v>10</v>
      </c>
      <c r="BW55" s="12">
        <v>87</v>
      </c>
      <c r="BX55" s="14">
        <v>103448.5714282</v>
      </c>
      <c r="BY55" s="12">
        <f t="shared" ref="BY55:BY65" si="183">BW55-BO55</f>
        <v>-9</v>
      </c>
      <c r="BZ55" s="14">
        <f t="shared" ref="BZ55:BZ65" si="184">BX55-BP55</f>
        <v>16650.476190460002</v>
      </c>
      <c r="CA55" s="13">
        <f t="shared" ref="CA55:CA65" si="185">(BX55-BP55)/BP55</f>
        <v>0.19182997213077482</v>
      </c>
      <c r="CC55" s="42"/>
      <c r="CD55" s="15" t="s">
        <v>10</v>
      </c>
      <c r="CE55" s="12">
        <v>75</v>
      </c>
      <c r="CF55" s="14">
        <v>83331.428571099983</v>
      </c>
      <c r="CG55" s="12">
        <f t="shared" ref="CG55:CG65" si="186">CE55-BW55</f>
        <v>-12</v>
      </c>
      <c r="CH55" s="14">
        <f t="shared" ref="CH55:CH65" si="187">CF55-BX55</f>
        <v>-20117.142857100014</v>
      </c>
      <c r="CI55" s="13">
        <f t="shared" ref="CI55:CI65" si="188">(CF55-BX55)/BX55</f>
        <v>-0.1944651586712593</v>
      </c>
      <c r="CK55" s="42"/>
      <c r="CL55" s="15" t="s">
        <v>10</v>
      </c>
      <c r="CM55" s="12">
        <v>67</v>
      </c>
      <c r="CN55" s="14">
        <v>63692.380952070016</v>
      </c>
      <c r="CO55" s="12">
        <f t="shared" ref="CO55:CO65" si="189">CM55-CE55</f>
        <v>-8</v>
      </c>
      <c r="CP55" s="14">
        <f t="shared" ref="CP55:CP65" si="190">CN55-CF55</f>
        <v>-19639.047619029967</v>
      </c>
      <c r="CQ55" s="13">
        <f t="shared" ref="CQ55:CQ65" si="191">(CN55-CF55)/CF55</f>
        <v>-0.23567395826262061</v>
      </c>
      <c r="CS55" s="42"/>
      <c r="CT55" s="15" t="s">
        <v>10</v>
      </c>
      <c r="CU55" s="12">
        <v>73</v>
      </c>
      <c r="CV55" s="14">
        <v>71570.476190149988</v>
      </c>
      <c r="CW55" s="12">
        <f t="shared" ref="CW55:CW65" si="192">CU55-CM55</f>
        <v>6</v>
      </c>
      <c r="CX55" s="14">
        <f t="shared" ref="CX55:CX65" si="193">CV55-CN55</f>
        <v>7878.0952380799718</v>
      </c>
      <c r="CY55" s="13">
        <f t="shared" ref="CY55:CY65" si="194">(CV55-CN55)/CN55</f>
        <v>0.12368975881131559</v>
      </c>
    </row>
    <row r="56" spans="1:103" s="12" customFormat="1" ht="20" customHeight="1">
      <c r="A56" s="42"/>
      <c r="B56" s="15" t="s">
        <v>9</v>
      </c>
      <c r="C56" s="12">
        <v>76</v>
      </c>
      <c r="D56" s="14">
        <v>90799.999999889988</v>
      </c>
      <c r="F56" s="14"/>
      <c r="G56" s="13"/>
      <c r="I56" s="42"/>
      <c r="J56" s="15" t="s">
        <v>9</v>
      </c>
      <c r="K56" s="12">
        <v>107</v>
      </c>
      <c r="L56" s="14">
        <v>134534.28571416004</v>
      </c>
      <c r="M56" s="12">
        <f t="shared" si="159"/>
        <v>31</v>
      </c>
      <c r="N56" s="14">
        <f t="shared" si="160"/>
        <v>43734.285714270052</v>
      </c>
      <c r="O56" s="13">
        <f t="shared" si="161"/>
        <v>0.48165512901236829</v>
      </c>
      <c r="Q56" s="42"/>
      <c r="R56" s="15" t="s">
        <v>9</v>
      </c>
      <c r="S56" s="12">
        <v>69</v>
      </c>
      <c r="T56" s="14">
        <v>103210.47619033</v>
      </c>
      <c r="U56" s="12">
        <f t="shared" si="162"/>
        <v>-38</v>
      </c>
      <c r="V56" s="14">
        <f t="shared" si="163"/>
        <v>-31323.809523830045</v>
      </c>
      <c r="W56" s="13">
        <f t="shared" si="164"/>
        <v>-0.23283142551767488</v>
      </c>
      <c r="Y56" s="42"/>
      <c r="Z56" s="15" t="s">
        <v>9</v>
      </c>
      <c r="AA56" s="12">
        <v>105</v>
      </c>
      <c r="AB56" s="14">
        <v>159495.23809507003</v>
      </c>
      <c r="AC56" s="12">
        <f t="shared" si="165"/>
        <v>36</v>
      </c>
      <c r="AD56" s="14">
        <f t="shared" si="166"/>
        <v>56284.761904740037</v>
      </c>
      <c r="AE56" s="13">
        <f t="shared" si="167"/>
        <v>0.54533962037870598</v>
      </c>
      <c r="AG56" s="42"/>
      <c r="AH56" s="15" t="s">
        <v>9</v>
      </c>
      <c r="AI56" s="12">
        <v>153</v>
      </c>
      <c r="AJ56" s="14">
        <v>161144.76190463002</v>
      </c>
      <c r="AK56" s="12">
        <f t="shared" si="168"/>
        <v>48</v>
      </c>
      <c r="AL56" s="14">
        <f t="shared" si="169"/>
        <v>1649.5238095599925</v>
      </c>
      <c r="AM56" s="13">
        <f t="shared" si="170"/>
        <v>1.034215083322277E-2</v>
      </c>
      <c r="AO56" s="42"/>
      <c r="AP56" s="15" t="s">
        <v>9</v>
      </c>
      <c r="AQ56" s="12">
        <v>117</v>
      </c>
      <c r="AR56" s="14">
        <v>138028.57142845</v>
      </c>
      <c r="AS56" s="12">
        <f t="shared" si="171"/>
        <v>-36</v>
      </c>
      <c r="AT56" s="14">
        <f t="shared" si="172"/>
        <v>-23116.190476180025</v>
      </c>
      <c r="AU56" s="13">
        <f t="shared" si="173"/>
        <v>-0.14344984101848021</v>
      </c>
      <c r="AW56" s="42"/>
      <c r="AX56" s="15" t="s">
        <v>9</v>
      </c>
      <c r="AY56" s="12">
        <v>99</v>
      </c>
      <c r="AZ56" s="14">
        <v>127955.23809509001</v>
      </c>
      <c r="BA56" s="12">
        <f t="shared" si="174"/>
        <v>-18</v>
      </c>
      <c r="BB56" s="14">
        <f t="shared" si="175"/>
        <v>-10073.333333359988</v>
      </c>
      <c r="BC56" s="13">
        <f t="shared" si="176"/>
        <v>-7.2980059339248546E-2</v>
      </c>
      <c r="BE56" s="42"/>
      <c r="BF56" s="15" t="s">
        <v>9</v>
      </c>
      <c r="BG56" s="12">
        <v>96</v>
      </c>
      <c r="BH56" s="14">
        <v>122772.38095225002</v>
      </c>
      <c r="BI56" s="12">
        <f t="shared" si="177"/>
        <v>-3</v>
      </c>
      <c r="BJ56" s="14">
        <f t="shared" si="178"/>
        <v>-5182.8571428399882</v>
      </c>
      <c r="BK56" s="13">
        <f t="shared" si="179"/>
        <v>-4.0505236206026557E-2</v>
      </c>
      <c r="BL56" s="35"/>
      <c r="BM56" s="42"/>
      <c r="BN56" s="15" t="s">
        <v>9</v>
      </c>
      <c r="BO56" s="12">
        <v>87</v>
      </c>
      <c r="BP56" s="14">
        <v>95896.190476060001</v>
      </c>
      <c r="BQ56" s="12">
        <f t="shared" si="180"/>
        <v>-9</v>
      </c>
      <c r="BR56" s="14">
        <f t="shared" si="181"/>
        <v>-26876.190476190022</v>
      </c>
      <c r="BS56" s="13">
        <f t="shared" si="182"/>
        <v>-0.21891072135061879</v>
      </c>
      <c r="BU56" s="42"/>
      <c r="BV56" s="15" t="s">
        <v>9</v>
      </c>
      <c r="BW56" s="12">
        <v>77</v>
      </c>
      <c r="BX56" s="14">
        <v>78325.714285610011</v>
      </c>
      <c r="BY56" s="12">
        <f t="shared" si="183"/>
        <v>-10</v>
      </c>
      <c r="BZ56" s="14">
        <f t="shared" si="184"/>
        <v>-17570.47619044999</v>
      </c>
      <c r="CA56" s="13">
        <f t="shared" si="185"/>
        <v>-0.18322392269415927</v>
      </c>
      <c r="CC56" s="42"/>
      <c r="CD56" s="15" t="s">
        <v>9</v>
      </c>
      <c r="CE56" s="12">
        <v>85</v>
      </c>
      <c r="CF56" s="14">
        <v>84714.285714200014</v>
      </c>
      <c r="CG56" s="12">
        <f t="shared" si="186"/>
        <v>8</v>
      </c>
      <c r="CH56" s="14">
        <f t="shared" si="187"/>
        <v>6388.5714285900031</v>
      </c>
      <c r="CI56" s="13">
        <f t="shared" si="188"/>
        <v>8.1564164295961111E-2</v>
      </c>
      <c r="CK56" s="42"/>
      <c r="CL56" s="15" t="s">
        <v>9</v>
      </c>
      <c r="CM56" s="12">
        <v>66</v>
      </c>
      <c r="CN56" s="14">
        <v>68335.238095140012</v>
      </c>
      <c r="CO56" s="12">
        <f t="shared" si="189"/>
        <v>-19</v>
      </c>
      <c r="CP56" s="14">
        <f t="shared" si="190"/>
        <v>-16379.047619060002</v>
      </c>
      <c r="CQ56" s="13">
        <f t="shared" si="191"/>
        <v>-0.19334457560461382</v>
      </c>
      <c r="CS56" s="42"/>
      <c r="CT56" s="15" t="s">
        <v>9</v>
      </c>
      <c r="CU56" s="12">
        <v>76</v>
      </c>
      <c r="CV56" s="14">
        <v>70839.047618940021</v>
      </c>
      <c r="CW56" s="12">
        <f t="shared" si="192"/>
        <v>10</v>
      </c>
      <c r="CX56" s="14">
        <f t="shared" si="193"/>
        <v>2503.8095238000096</v>
      </c>
      <c r="CY56" s="13">
        <f t="shared" si="194"/>
        <v>3.6640093655839333E-2</v>
      </c>
    </row>
    <row r="57" spans="1:103" s="12" customFormat="1" ht="20" customHeight="1">
      <c r="A57" s="42"/>
      <c r="B57" s="15" t="s">
        <v>8</v>
      </c>
      <c r="C57" s="12">
        <v>18</v>
      </c>
      <c r="D57" s="14">
        <v>139828.57142855</v>
      </c>
      <c r="F57" s="14"/>
      <c r="G57" s="13"/>
      <c r="I57" s="42"/>
      <c r="J57" s="15" t="s">
        <v>8</v>
      </c>
      <c r="K57" s="12">
        <v>31</v>
      </c>
      <c r="L57" s="14">
        <v>190563.80952379</v>
      </c>
      <c r="M57" s="12">
        <f t="shared" si="159"/>
        <v>13</v>
      </c>
      <c r="N57" s="14">
        <f t="shared" si="160"/>
        <v>50735.238095239998</v>
      </c>
      <c r="O57" s="13">
        <f t="shared" si="161"/>
        <v>0.36283885029294483</v>
      </c>
      <c r="Q57" s="42"/>
      <c r="R57" s="15" t="s">
        <v>8</v>
      </c>
      <c r="S57" s="12">
        <v>27</v>
      </c>
      <c r="T57" s="14">
        <v>168314.28571427002</v>
      </c>
      <c r="U57" s="12">
        <f t="shared" si="162"/>
        <v>-4</v>
      </c>
      <c r="V57" s="14">
        <f t="shared" si="163"/>
        <v>-22249.523809519975</v>
      </c>
      <c r="W57" s="13">
        <f t="shared" si="164"/>
        <v>-0.11675629210562324</v>
      </c>
      <c r="Y57" s="42"/>
      <c r="Z57" s="15" t="s">
        <v>8</v>
      </c>
      <c r="AA57" s="12">
        <v>40</v>
      </c>
      <c r="AB57" s="14">
        <v>263904.76190474996</v>
      </c>
      <c r="AC57" s="12">
        <f t="shared" si="165"/>
        <v>13</v>
      </c>
      <c r="AD57" s="14">
        <f t="shared" si="166"/>
        <v>95590.476190479938</v>
      </c>
      <c r="AE57" s="13">
        <f t="shared" si="167"/>
        <v>0.56792847847005767</v>
      </c>
      <c r="AG57" s="42"/>
      <c r="AH57" s="15" t="s">
        <v>8</v>
      </c>
      <c r="AI57" s="12">
        <v>48</v>
      </c>
      <c r="AJ57" s="14">
        <v>301759.04761902004</v>
      </c>
      <c r="AK57" s="12">
        <f t="shared" si="168"/>
        <v>8</v>
      </c>
      <c r="AL57" s="14">
        <f t="shared" si="169"/>
        <v>37854.285714270081</v>
      </c>
      <c r="AM57" s="13">
        <f t="shared" si="170"/>
        <v>0.14343919162751853</v>
      </c>
      <c r="AO57" s="42"/>
      <c r="AP57" s="15" t="s">
        <v>8</v>
      </c>
      <c r="AQ57" s="12">
        <v>31</v>
      </c>
      <c r="AR57" s="14">
        <v>189704.76190474001</v>
      </c>
      <c r="AS57" s="12">
        <f t="shared" si="171"/>
        <v>-17</v>
      </c>
      <c r="AT57" s="14">
        <f t="shared" si="172"/>
        <v>-112054.28571428003</v>
      </c>
      <c r="AU57" s="13">
        <f t="shared" si="173"/>
        <v>-0.37133695442912446</v>
      </c>
      <c r="AW57" s="42"/>
      <c r="AX57" s="15" t="s">
        <v>8</v>
      </c>
      <c r="AY57" s="12">
        <v>30</v>
      </c>
      <c r="AZ57" s="14">
        <v>186287.61904759999</v>
      </c>
      <c r="BA57" s="12">
        <f t="shared" si="174"/>
        <v>-1</v>
      </c>
      <c r="BB57" s="14">
        <f t="shared" si="175"/>
        <v>-3417.1428571400174</v>
      </c>
      <c r="BC57" s="13">
        <f t="shared" si="176"/>
        <v>-1.8012952457439793E-2</v>
      </c>
      <c r="BE57" s="42"/>
      <c r="BF57" s="15" t="s">
        <v>8</v>
      </c>
      <c r="BG57" s="12">
        <v>71</v>
      </c>
      <c r="BH57" s="14">
        <v>480752.38095237</v>
      </c>
      <c r="BI57" s="12">
        <f t="shared" si="177"/>
        <v>41</v>
      </c>
      <c r="BJ57" s="14">
        <f t="shared" si="178"/>
        <v>294464.76190477004</v>
      </c>
      <c r="BK57" s="13">
        <f t="shared" si="179"/>
        <v>1.5806995838490412</v>
      </c>
      <c r="BL57" s="35"/>
      <c r="BM57" s="42"/>
      <c r="BN57" s="15" t="s">
        <v>8</v>
      </c>
      <c r="BO57" s="12">
        <v>29</v>
      </c>
      <c r="BP57" s="14">
        <v>188295.23809522</v>
      </c>
      <c r="BQ57" s="12">
        <f t="shared" si="180"/>
        <v>-42</v>
      </c>
      <c r="BR57" s="14">
        <f t="shared" si="181"/>
        <v>-292457.14285715</v>
      </c>
      <c r="BS57" s="13">
        <f t="shared" si="182"/>
        <v>-0.60833217773730563</v>
      </c>
      <c r="BU57" s="42"/>
      <c r="BV57" s="15" t="s">
        <v>8</v>
      </c>
      <c r="BW57" s="12">
        <v>10</v>
      </c>
      <c r="BX57" s="14">
        <v>55619.04761904</v>
      </c>
      <c r="BY57" s="12">
        <f t="shared" si="183"/>
        <v>-19</v>
      </c>
      <c r="BZ57" s="14">
        <f t="shared" si="184"/>
        <v>-132676.19047618</v>
      </c>
      <c r="CA57" s="13">
        <f t="shared" si="185"/>
        <v>-0.70461787466492531</v>
      </c>
      <c r="CC57" s="42"/>
      <c r="CD57" s="15" t="s">
        <v>8</v>
      </c>
      <c r="CE57" s="12">
        <v>27</v>
      </c>
      <c r="CF57" s="14">
        <v>148314.28571427998</v>
      </c>
      <c r="CG57" s="12">
        <f t="shared" si="186"/>
        <v>17</v>
      </c>
      <c r="CH57" s="14">
        <f t="shared" si="187"/>
        <v>92695.238095239969</v>
      </c>
      <c r="CI57" s="13">
        <f t="shared" si="188"/>
        <v>1.6666095890413579</v>
      </c>
      <c r="CK57" s="42"/>
      <c r="CL57" s="15" t="s">
        <v>8</v>
      </c>
      <c r="CM57" s="12">
        <v>19</v>
      </c>
      <c r="CN57" s="14">
        <v>112676.19047618</v>
      </c>
      <c r="CO57" s="12">
        <f t="shared" si="189"/>
        <v>-8</v>
      </c>
      <c r="CP57" s="14">
        <f t="shared" si="190"/>
        <v>-35638.095238099981</v>
      </c>
      <c r="CQ57" s="13">
        <f t="shared" si="191"/>
        <v>-0.24028767739039639</v>
      </c>
      <c r="CS57" s="42"/>
      <c r="CT57" s="15" t="s">
        <v>8</v>
      </c>
      <c r="CU57" s="12">
        <v>16</v>
      </c>
      <c r="CV57" s="14">
        <v>105277.14285712999</v>
      </c>
      <c r="CW57" s="12">
        <f t="shared" si="192"/>
        <v>-3</v>
      </c>
      <c r="CX57" s="14">
        <f t="shared" si="193"/>
        <v>-7399.0476190500049</v>
      </c>
      <c r="CY57" s="13">
        <f t="shared" si="194"/>
        <v>-6.5666469444706513E-2</v>
      </c>
    </row>
    <row r="58" spans="1:103" s="12" customFormat="1" ht="20" customHeight="1">
      <c r="A58" s="16"/>
      <c r="B58" s="15" t="s">
        <v>7</v>
      </c>
      <c r="C58" s="12">
        <v>12</v>
      </c>
      <c r="D58" s="14">
        <v>149333.33333328002</v>
      </c>
      <c r="F58" s="14"/>
      <c r="G58" s="13"/>
      <c r="I58" s="16"/>
      <c r="J58" s="15" t="s">
        <v>7</v>
      </c>
      <c r="K58" s="12">
        <v>13</v>
      </c>
      <c r="L58" s="14">
        <v>189036.19047616</v>
      </c>
      <c r="M58" s="12">
        <f t="shared" si="159"/>
        <v>1</v>
      </c>
      <c r="N58" s="14">
        <f t="shared" si="160"/>
        <v>39702.857142879977</v>
      </c>
      <c r="O58" s="13">
        <f t="shared" si="161"/>
        <v>0.26586734693902331</v>
      </c>
      <c r="Q58" s="16"/>
      <c r="R58" s="15" t="s">
        <v>7</v>
      </c>
      <c r="S58" s="12">
        <v>24</v>
      </c>
      <c r="T58" s="14">
        <v>303977.14285705995</v>
      </c>
      <c r="U58" s="12">
        <f t="shared" si="162"/>
        <v>11</v>
      </c>
      <c r="V58" s="14">
        <f t="shared" si="163"/>
        <v>114940.95238089995</v>
      </c>
      <c r="W58" s="13">
        <f t="shared" si="164"/>
        <v>0.60803675788946643</v>
      </c>
      <c r="Y58" s="16"/>
      <c r="Z58" s="15" t="s">
        <v>7</v>
      </c>
      <c r="AA58" s="12">
        <v>16</v>
      </c>
      <c r="AB58" s="14">
        <v>223226.66666662</v>
      </c>
      <c r="AC58" s="12">
        <f t="shared" si="165"/>
        <v>-8</v>
      </c>
      <c r="AD58" s="14">
        <f t="shared" si="166"/>
        <v>-80750.476190439949</v>
      </c>
      <c r="AE58" s="13">
        <f t="shared" si="167"/>
        <v>-0.26564653984004144</v>
      </c>
      <c r="AG58" s="16"/>
      <c r="AH58" s="15" t="s">
        <v>7</v>
      </c>
      <c r="AI58" s="12">
        <v>39</v>
      </c>
      <c r="AJ58" s="14">
        <v>476217.14285707008</v>
      </c>
      <c r="AK58" s="12">
        <f t="shared" si="168"/>
        <v>23</v>
      </c>
      <c r="AL58" s="14">
        <f t="shared" si="169"/>
        <v>252990.47619045008</v>
      </c>
      <c r="AM58" s="13">
        <f t="shared" si="170"/>
        <v>1.1333344710481259</v>
      </c>
      <c r="AO58" s="16"/>
      <c r="AP58" s="15" t="s">
        <v>7</v>
      </c>
      <c r="AQ58" s="12">
        <v>12</v>
      </c>
      <c r="AR58" s="14">
        <v>129904.76190472001</v>
      </c>
      <c r="AS58" s="12">
        <f t="shared" si="171"/>
        <v>-27</v>
      </c>
      <c r="AT58" s="14">
        <f t="shared" si="172"/>
        <v>-346312.3809523501</v>
      </c>
      <c r="AU58" s="13">
        <f t="shared" si="173"/>
        <v>-0.72721527594459345</v>
      </c>
      <c r="AW58" s="16"/>
      <c r="AX58" s="15" t="s">
        <v>7</v>
      </c>
      <c r="AY58" s="12">
        <v>22</v>
      </c>
      <c r="AZ58" s="14">
        <v>293870.47619040997</v>
      </c>
      <c r="BA58" s="12">
        <f t="shared" si="174"/>
        <v>10</v>
      </c>
      <c r="BB58" s="14">
        <f t="shared" si="175"/>
        <v>163965.71428568996</v>
      </c>
      <c r="BC58" s="13">
        <f t="shared" si="176"/>
        <v>1.2621994134899559</v>
      </c>
      <c r="BE58" s="16"/>
      <c r="BF58" s="15" t="s">
        <v>7</v>
      </c>
      <c r="BG58" s="12">
        <v>17</v>
      </c>
      <c r="BH58" s="14">
        <v>220834.28571423001</v>
      </c>
      <c r="BI58" s="12">
        <f t="shared" si="177"/>
        <v>-5</v>
      </c>
      <c r="BJ58" s="14">
        <f t="shared" si="178"/>
        <v>-73036.190476179967</v>
      </c>
      <c r="BK58" s="13">
        <f t="shared" si="179"/>
        <v>-0.24853190910153564</v>
      </c>
      <c r="BL58" s="35"/>
      <c r="BM58" s="16"/>
      <c r="BN58" s="15" t="s">
        <v>7</v>
      </c>
      <c r="BO58" s="12">
        <v>17</v>
      </c>
      <c r="BP58" s="14">
        <v>188144.76190470002</v>
      </c>
      <c r="BQ58" s="12">
        <f t="shared" si="180"/>
        <v>0</v>
      </c>
      <c r="BR58" s="14">
        <f t="shared" si="181"/>
        <v>-32689.523809529986</v>
      </c>
      <c r="BS58" s="13">
        <f t="shared" si="182"/>
        <v>-0.14802739395200515</v>
      </c>
      <c r="BU58" s="16"/>
      <c r="BV58" s="15" t="s">
        <v>7</v>
      </c>
      <c r="BW58" s="12">
        <v>10</v>
      </c>
      <c r="BX58" s="14">
        <v>113904.76190473</v>
      </c>
      <c r="BY58" s="12">
        <f t="shared" si="183"/>
        <v>-7</v>
      </c>
      <c r="BZ58" s="14">
        <f t="shared" si="184"/>
        <v>-74239.999999970023</v>
      </c>
      <c r="CA58" s="13">
        <f t="shared" si="185"/>
        <v>-0.39458977889362884</v>
      </c>
      <c r="CC58" s="16"/>
      <c r="CD58" s="15" t="s">
        <v>7</v>
      </c>
      <c r="CE58" s="12">
        <v>12</v>
      </c>
      <c r="CF58" s="14">
        <v>138666.66666662003</v>
      </c>
      <c r="CG58" s="12">
        <f t="shared" si="186"/>
        <v>2</v>
      </c>
      <c r="CH58" s="14">
        <f t="shared" si="187"/>
        <v>24761.904761890037</v>
      </c>
      <c r="CI58" s="13">
        <f t="shared" si="188"/>
        <v>0.21739130434775772</v>
      </c>
      <c r="CK58" s="16"/>
      <c r="CL58" s="15" t="s">
        <v>7</v>
      </c>
      <c r="CM58" s="12">
        <v>10</v>
      </c>
      <c r="CN58" s="14">
        <v>139596.19047615002</v>
      </c>
      <c r="CO58" s="12">
        <f t="shared" si="189"/>
        <v>-2</v>
      </c>
      <c r="CP58" s="14">
        <f t="shared" si="190"/>
        <v>929.52380952998647</v>
      </c>
      <c r="CQ58" s="13">
        <f t="shared" si="191"/>
        <v>6.7032967033435033E-3</v>
      </c>
      <c r="CS58" s="16"/>
      <c r="CT58" s="15" t="s">
        <v>7</v>
      </c>
      <c r="CU58" s="12">
        <v>12</v>
      </c>
      <c r="CV58" s="14">
        <v>159036.19047616</v>
      </c>
      <c r="CW58" s="12">
        <f t="shared" si="192"/>
        <v>2</v>
      </c>
      <c r="CX58" s="14">
        <f t="shared" si="193"/>
        <v>19440.000000009983</v>
      </c>
      <c r="CY58" s="13">
        <f t="shared" si="194"/>
        <v>0.13925881454000927</v>
      </c>
    </row>
    <row r="59" spans="1:103" s="12" customFormat="1" ht="20" customHeight="1">
      <c r="A59" s="16"/>
      <c r="B59" s="15" t="s">
        <v>6</v>
      </c>
      <c r="C59" s="12">
        <v>1</v>
      </c>
      <c r="D59" s="14">
        <v>2857.1428571400002</v>
      </c>
      <c r="F59" s="14"/>
      <c r="G59" s="13"/>
      <c r="I59" s="16"/>
      <c r="J59" s="15" t="s">
        <v>6</v>
      </c>
      <c r="K59" s="12">
        <v>0</v>
      </c>
      <c r="L59" s="14">
        <v>0</v>
      </c>
      <c r="M59" s="12">
        <f t="shared" si="159"/>
        <v>-1</v>
      </c>
      <c r="N59" s="14">
        <f t="shared" si="160"/>
        <v>-2857.1428571400002</v>
      </c>
      <c r="O59" s="13">
        <f t="shared" si="161"/>
        <v>-1</v>
      </c>
      <c r="Q59" s="16"/>
      <c r="R59" s="15" t="s">
        <v>6</v>
      </c>
      <c r="S59" s="12">
        <v>2</v>
      </c>
      <c r="T59" s="14">
        <v>5714.2857142800003</v>
      </c>
      <c r="U59" s="12">
        <f t="shared" si="162"/>
        <v>2</v>
      </c>
      <c r="V59" s="14">
        <f t="shared" si="163"/>
        <v>5714.2857142800003</v>
      </c>
      <c r="W59" s="13" t="e">
        <f t="shared" si="164"/>
        <v>#DIV/0!</v>
      </c>
      <c r="Y59" s="16"/>
      <c r="Z59" s="15" t="s">
        <v>6</v>
      </c>
      <c r="AA59" s="12">
        <v>1</v>
      </c>
      <c r="AB59" s="14">
        <v>2857.1428571400002</v>
      </c>
      <c r="AC59" s="12">
        <f t="shared" si="165"/>
        <v>-1</v>
      </c>
      <c r="AD59" s="14">
        <f t="shared" si="166"/>
        <v>-2857.1428571400002</v>
      </c>
      <c r="AE59" s="13">
        <f t="shared" si="167"/>
        <v>-0.5</v>
      </c>
      <c r="AG59" s="16"/>
      <c r="AH59" s="15" t="s">
        <v>6</v>
      </c>
      <c r="AI59" s="12">
        <v>1</v>
      </c>
      <c r="AJ59" s="14">
        <v>2857.1428571400002</v>
      </c>
      <c r="AK59" s="12">
        <f t="shared" si="168"/>
        <v>0</v>
      </c>
      <c r="AL59" s="14">
        <f t="shared" si="169"/>
        <v>0</v>
      </c>
      <c r="AM59" s="13">
        <f t="shared" si="170"/>
        <v>0</v>
      </c>
      <c r="AO59" s="16"/>
      <c r="AP59" s="15" t="s">
        <v>6</v>
      </c>
      <c r="AQ59" s="12">
        <v>0</v>
      </c>
      <c r="AR59" s="14">
        <v>0</v>
      </c>
      <c r="AS59" s="12">
        <f t="shared" si="171"/>
        <v>-1</v>
      </c>
      <c r="AT59" s="14">
        <f t="shared" si="172"/>
        <v>-2857.1428571400002</v>
      </c>
      <c r="AU59" s="13">
        <f t="shared" si="173"/>
        <v>-1</v>
      </c>
      <c r="AW59" s="16"/>
      <c r="AX59" s="15" t="s">
        <v>6</v>
      </c>
      <c r="AY59" s="12">
        <v>1</v>
      </c>
      <c r="AZ59" s="14">
        <v>2857.1428571400002</v>
      </c>
      <c r="BA59" s="12">
        <f t="shared" si="174"/>
        <v>1</v>
      </c>
      <c r="BB59" s="14">
        <f t="shared" si="175"/>
        <v>2857.1428571400002</v>
      </c>
      <c r="BC59" s="13" t="e">
        <f t="shared" si="176"/>
        <v>#DIV/0!</v>
      </c>
      <c r="BE59" s="16"/>
      <c r="BF59" s="15" t="s">
        <v>6</v>
      </c>
      <c r="BG59" s="12">
        <v>0</v>
      </c>
      <c r="BH59" s="14">
        <v>0</v>
      </c>
      <c r="BI59" s="12">
        <f t="shared" si="177"/>
        <v>-1</v>
      </c>
      <c r="BJ59" s="14">
        <f t="shared" si="178"/>
        <v>-2857.1428571400002</v>
      </c>
      <c r="BK59" s="13">
        <f t="shared" si="179"/>
        <v>-1</v>
      </c>
      <c r="BL59" s="35"/>
      <c r="BM59" s="16"/>
      <c r="BN59" s="15" t="s">
        <v>6</v>
      </c>
      <c r="BO59" s="12">
        <v>0</v>
      </c>
      <c r="BP59" s="14">
        <v>0</v>
      </c>
      <c r="BQ59" s="12">
        <f t="shared" si="180"/>
        <v>0</v>
      </c>
      <c r="BR59" s="14">
        <f t="shared" si="181"/>
        <v>0</v>
      </c>
      <c r="BS59" s="13" t="e">
        <f t="shared" si="182"/>
        <v>#DIV/0!</v>
      </c>
      <c r="BU59" s="16"/>
      <c r="BV59" s="15" t="s">
        <v>6</v>
      </c>
      <c r="BW59" s="12">
        <v>2</v>
      </c>
      <c r="BX59" s="14">
        <v>11714.285714279999</v>
      </c>
      <c r="BY59" s="12">
        <f t="shared" si="183"/>
        <v>2</v>
      </c>
      <c r="BZ59" s="14">
        <f t="shared" si="184"/>
        <v>11714.285714279999</v>
      </c>
      <c r="CA59" s="13" t="e">
        <f t="shared" si="185"/>
        <v>#DIV/0!</v>
      </c>
      <c r="CC59" s="16"/>
      <c r="CD59" s="15" t="s">
        <v>6</v>
      </c>
      <c r="CE59" s="38">
        <v>0</v>
      </c>
      <c r="CF59" s="14">
        <v>0</v>
      </c>
      <c r="CG59" s="12">
        <f t="shared" si="186"/>
        <v>-2</v>
      </c>
      <c r="CH59" s="14">
        <f t="shared" si="187"/>
        <v>-11714.285714279999</v>
      </c>
      <c r="CI59" s="13">
        <f t="shared" si="188"/>
        <v>-1</v>
      </c>
      <c r="CK59" s="16"/>
      <c r="CL59" s="15" t="s">
        <v>6</v>
      </c>
      <c r="CM59" s="12">
        <v>2</v>
      </c>
      <c r="CN59" s="14">
        <v>5714.2857142800003</v>
      </c>
      <c r="CO59" s="12">
        <f t="shared" si="189"/>
        <v>2</v>
      </c>
      <c r="CP59" s="14">
        <f t="shared" si="190"/>
        <v>5714.2857142800003</v>
      </c>
      <c r="CQ59" s="13" t="e">
        <f t="shared" si="191"/>
        <v>#DIV/0!</v>
      </c>
      <c r="CS59" s="16"/>
      <c r="CT59" s="15" t="s">
        <v>6</v>
      </c>
      <c r="CU59" s="12">
        <v>1</v>
      </c>
      <c r="CV59" s="14">
        <v>2857.1428571400002</v>
      </c>
      <c r="CW59" s="12">
        <f t="shared" si="192"/>
        <v>-1</v>
      </c>
      <c r="CX59" s="14">
        <f t="shared" si="193"/>
        <v>-2857.1428571400002</v>
      </c>
      <c r="CY59" s="13">
        <f t="shared" si="194"/>
        <v>-0.5</v>
      </c>
    </row>
    <row r="60" spans="1:103" s="12" customFormat="1" ht="20" customHeight="1">
      <c r="A60" s="16"/>
      <c r="B60" s="15" t="s">
        <v>5</v>
      </c>
      <c r="C60" s="12">
        <v>5</v>
      </c>
      <c r="D60" s="14">
        <v>17850</v>
      </c>
      <c r="F60" s="14"/>
      <c r="G60" s="13"/>
      <c r="I60" s="16"/>
      <c r="J60" s="15" t="s">
        <v>5</v>
      </c>
      <c r="K60" s="12">
        <v>3</v>
      </c>
      <c r="L60" s="14">
        <v>8370</v>
      </c>
      <c r="M60" s="12">
        <f t="shared" si="159"/>
        <v>-2</v>
      </c>
      <c r="N60" s="14">
        <f t="shared" si="160"/>
        <v>-9480</v>
      </c>
      <c r="O60" s="13">
        <f t="shared" si="161"/>
        <v>-0.53109243697478992</v>
      </c>
      <c r="Q60" s="16"/>
      <c r="R60" s="15" t="s">
        <v>5</v>
      </c>
      <c r="S60" s="12">
        <v>3</v>
      </c>
      <c r="T60" s="14">
        <v>8270</v>
      </c>
      <c r="U60" s="12">
        <f t="shared" si="162"/>
        <v>0</v>
      </c>
      <c r="V60" s="14">
        <f t="shared" si="163"/>
        <v>-100</v>
      </c>
      <c r="W60" s="13">
        <f t="shared" si="164"/>
        <v>-1.1947431302270013E-2</v>
      </c>
      <c r="Y60" s="16"/>
      <c r="Z60" s="15" t="s">
        <v>5</v>
      </c>
      <c r="AA60" s="12">
        <v>0</v>
      </c>
      <c r="AB60" s="14">
        <v>0</v>
      </c>
      <c r="AC60" s="12">
        <f t="shared" si="165"/>
        <v>-3</v>
      </c>
      <c r="AD60" s="14">
        <f t="shared" si="166"/>
        <v>-8270</v>
      </c>
      <c r="AE60" s="13">
        <f t="shared" si="167"/>
        <v>-1</v>
      </c>
      <c r="AG60" s="16"/>
      <c r="AH60" s="15" t="s">
        <v>5</v>
      </c>
      <c r="AI60" s="12">
        <v>6</v>
      </c>
      <c r="AJ60" s="14">
        <v>33540</v>
      </c>
      <c r="AK60" s="12">
        <f t="shared" si="168"/>
        <v>6</v>
      </c>
      <c r="AL60" s="14">
        <f t="shared" si="169"/>
        <v>33540</v>
      </c>
      <c r="AM60" s="13" t="e">
        <f t="shared" si="170"/>
        <v>#DIV/0!</v>
      </c>
      <c r="AO60" s="16"/>
      <c r="AP60" s="15" t="s">
        <v>5</v>
      </c>
      <c r="AQ60" s="12">
        <v>1</v>
      </c>
      <c r="AR60" s="14">
        <v>6390</v>
      </c>
      <c r="AS60" s="12">
        <f t="shared" si="171"/>
        <v>-5</v>
      </c>
      <c r="AT60" s="14">
        <f t="shared" si="172"/>
        <v>-27150</v>
      </c>
      <c r="AU60" s="13">
        <f t="shared" si="173"/>
        <v>-0.80948121645796067</v>
      </c>
      <c r="AW60" s="16"/>
      <c r="AX60" s="15" t="s">
        <v>5</v>
      </c>
      <c r="AY60" s="12">
        <v>0</v>
      </c>
      <c r="AZ60" s="14">
        <v>0</v>
      </c>
      <c r="BA60" s="12">
        <f t="shared" si="174"/>
        <v>-1</v>
      </c>
      <c r="BB60" s="14">
        <f t="shared" si="175"/>
        <v>-6390</v>
      </c>
      <c r="BC60" s="13">
        <f t="shared" si="176"/>
        <v>-1</v>
      </c>
      <c r="BE60" s="16"/>
      <c r="BF60" s="15" t="s">
        <v>5</v>
      </c>
      <c r="BG60" s="12">
        <v>2</v>
      </c>
      <c r="BH60" s="14">
        <v>10680</v>
      </c>
      <c r="BI60" s="12">
        <f t="shared" si="177"/>
        <v>2</v>
      </c>
      <c r="BJ60" s="14">
        <f t="shared" si="178"/>
        <v>10680</v>
      </c>
      <c r="BK60" s="13" t="e">
        <f t="shared" si="179"/>
        <v>#DIV/0!</v>
      </c>
      <c r="BL60" s="35"/>
      <c r="BM60" s="16"/>
      <c r="BN60" s="15" t="s">
        <v>5</v>
      </c>
      <c r="BO60" s="12">
        <v>4</v>
      </c>
      <c r="BP60" s="14">
        <v>14660</v>
      </c>
      <c r="BQ60" s="12">
        <f t="shared" si="180"/>
        <v>2</v>
      </c>
      <c r="BR60" s="14">
        <f t="shared" si="181"/>
        <v>3980</v>
      </c>
      <c r="BS60" s="13">
        <f t="shared" si="182"/>
        <v>0.37265917602996257</v>
      </c>
      <c r="BU60" s="16"/>
      <c r="BV60" s="15" t="s">
        <v>5</v>
      </c>
      <c r="BW60" s="12">
        <v>1</v>
      </c>
      <c r="BX60" s="14">
        <v>6290</v>
      </c>
      <c r="BY60" s="12">
        <f t="shared" si="183"/>
        <v>-3</v>
      </c>
      <c r="BZ60" s="14">
        <f t="shared" si="184"/>
        <v>-8370</v>
      </c>
      <c r="CA60" s="13">
        <f t="shared" si="185"/>
        <v>-0.57094133697135063</v>
      </c>
      <c r="CC60" s="16"/>
      <c r="CD60" s="15" t="s">
        <v>5</v>
      </c>
      <c r="CE60" s="12">
        <v>0</v>
      </c>
      <c r="CF60" s="14">
        <v>0</v>
      </c>
      <c r="CG60" s="12">
        <f t="shared" si="186"/>
        <v>-1</v>
      </c>
      <c r="CH60" s="14">
        <f t="shared" si="187"/>
        <v>-6290</v>
      </c>
      <c r="CI60" s="13">
        <f t="shared" si="188"/>
        <v>-1</v>
      </c>
      <c r="CK60" s="16"/>
      <c r="CL60" s="15" t="s">
        <v>5</v>
      </c>
      <c r="CM60" s="12">
        <v>2</v>
      </c>
      <c r="CN60" s="14">
        <v>10280</v>
      </c>
      <c r="CO60" s="12">
        <f t="shared" si="189"/>
        <v>2</v>
      </c>
      <c r="CP60" s="14">
        <f t="shared" si="190"/>
        <v>10280</v>
      </c>
      <c r="CQ60" s="13" t="e">
        <f t="shared" si="191"/>
        <v>#DIV/0!</v>
      </c>
      <c r="CS60" s="16"/>
      <c r="CT60" s="15" t="s">
        <v>5</v>
      </c>
      <c r="CU60" s="12">
        <v>2</v>
      </c>
      <c r="CV60" s="14">
        <v>3180</v>
      </c>
      <c r="CW60" s="12">
        <f t="shared" si="192"/>
        <v>0</v>
      </c>
      <c r="CX60" s="14">
        <f t="shared" si="193"/>
        <v>-7100</v>
      </c>
      <c r="CY60" s="13">
        <f t="shared" si="194"/>
        <v>-0.69066147859922178</v>
      </c>
    </row>
    <row r="61" spans="1:103" s="12" customFormat="1" ht="20" customHeight="1">
      <c r="A61" s="16"/>
      <c r="B61" s="15" t="s">
        <v>4</v>
      </c>
      <c r="C61" s="12">
        <v>3</v>
      </c>
      <c r="D61" s="14">
        <v>100861.90476188999</v>
      </c>
      <c r="F61" s="14"/>
      <c r="G61" s="13"/>
      <c r="I61" s="16"/>
      <c r="J61" s="15" t="s">
        <v>4</v>
      </c>
      <c r="K61" s="12">
        <v>2</v>
      </c>
      <c r="L61" s="14">
        <v>73142.85714285</v>
      </c>
      <c r="M61" s="12">
        <f t="shared" si="159"/>
        <v>-1</v>
      </c>
      <c r="N61" s="14">
        <f t="shared" si="160"/>
        <v>-27719.047619039993</v>
      </c>
      <c r="O61" s="13">
        <f t="shared" si="161"/>
        <v>-0.27482177423158732</v>
      </c>
      <c r="Q61" s="16"/>
      <c r="R61" s="15" t="s">
        <v>4</v>
      </c>
      <c r="S61" s="12">
        <v>5</v>
      </c>
      <c r="T61" s="14">
        <v>184766.66666664</v>
      </c>
      <c r="U61" s="12">
        <f t="shared" si="162"/>
        <v>3</v>
      </c>
      <c r="V61" s="14">
        <f t="shared" si="163"/>
        <v>111623.80952379</v>
      </c>
      <c r="W61" s="13">
        <f t="shared" si="164"/>
        <v>1.5261067708332154</v>
      </c>
      <c r="Y61" s="16"/>
      <c r="Z61" s="15" t="s">
        <v>4</v>
      </c>
      <c r="AA61" s="12">
        <v>4</v>
      </c>
      <c r="AB61" s="14">
        <v>154857.14285712998</v>
      </c>
      <c r="AC61" s="12">
        <f t="shared" si="165"/>
        <v>-1</v>
      </c>
      <c r="AD61" s="14">
        <f t="shared" si="166"/>
        <v>-29909.523809510021</v>
      </c>
      <c r="AE61" s="13">
        <f t="shared" si="167"/>
        <v>-0.16187727120429915</v>
      </c>
      <c r="AG61" s="16"/>
      <c r="AH61" s="15" t="s">
        <v>4</v>
      </c>
      <c r="AI61" s="12">
        <v>6</v>
      </c>
      <c r="AJ61" s="14">
        <v>212009.52380950004</v>
      </c>
      <c r="AK61" s="12">
        <f t="shared" si="168"/>
        <v>2</v>
      </c>
      <c r="AL61" s="14">
        <f t="shared" si="169"/>
        <v>57152.380952370062</v>
      </c>
      <c r="AM61" s="13">
        <f t="shared" si="170"/>
        <v>0.36906519065186688</v>
      </c>
      <c r="AO61" s="16"/>
      <c r="AP61" s="15" t="s">
        <v>4</v>
      </c>
      <c r="AQ61" s="12">
        <v>6</v>
      </c>
      <c r="AR61" s="14">
        <v>189142.85714283001</v>
      </c>
      <c r="AS61" s="12">
        <f t="shared" si="171"/>
        <v>0</v>
      </c>
      <c r="AT61" s="14">
        <f t="shared" si="172"/>
        <v>-22866.666666670033</v>
      </c>
      <c r="AU61" s="13">
        <f t="shared" si="173"/>
        <v>-0.10785678990164964</v>
      </c>
      <c r="AW61" s="16"/>
      <c r="AX61" s="15" t="s">
        <v>4</v>
      </c>
      <c r="AY61" s="12">
        <v>9</v>
      </c>
      <c r="AZ61" s="14">
        <v>309214.28571426001</v>
      </c>
      <c r="BA61" s="12">
        <f t="shared" si="174"/>
        <v>3</v>
      </c>
      <c r="BB61" s="14">
        <f t="shared" si="175"/>
        <v>120071.42857143001</v>
      </c>
      <c r="BC61" s="13">
        <f t="shared" si="176"/>
        <v>0.63481873111792342</v>
      </c>
      <c r="BE61" s="16"/>
      <c r="BF61" s="15" t="s">
        <v>4</v>
      </c>
      <c r="BG61" s="12">
        <v>7</v>
      </c>
      <c r="BH61" s="14">
        <v>290385.71428567998</v>
      </c>
      <c r="BI61" s="12">
        <f t="shared" si="177"/>
        <v>-2</v>
      </c>
      <c r="BJ61" s="14">
        <f t="shared" si="178"/>
        <v>-18828.571428580035</v>
      </c>
      <c r="BK61" s="13">
        <f t="shared" si="179"/>
        <v>-6.0891660891693788E-2</v>
      </c>
      <c r="BL61" s="35"/>
      <c r="BM61" s="16"/>
      <c r="BN61" s="15" t="s">
        <v>4</v>
      </c>
      <c r="BO61" s="38">
        <v>0</v>
      </c>
      <c r="BP61" s="14">
        <v>0</v>
      </c>
      <c r="BQ61" s="12">
        <f t="shared" si="180"/>
        <v>-7</v>
      </c>
      <c r="BR61" s="14">
        <f t="shared" si="181"/>
        <v>-290385.71428567998</v>
      </c>
      <c r="BS61" s="13">
        <f t="shared" si="182"/>
        <v>-1</v>
      </c>
      <c r="BU61" s="16"/>
      <c r="BV61" s="15" t="s">
        <v>4</v>
      </c>
      <c r="BW61" s="12">
        <v>4</v>
      </c>
      <c r="BX61" s="14">
        <v>135052.38095237</v>
      </c>
      <c r="BY61" s="12">
        <f t="shared" si="183"/>
        <v>4</v>
      </c>
      <c r="BZ61" s="14">
        <f t="shared" si="184"/>
        <v>135052.38095237</v>
      </c>
      <c r="CA61" s="13" t="e">
        <f t="shared" si="185"/>
        <v>#DIV/0!</v>
      </c>
      <c r="CC61" s="16"/>
      <c r="CD61" s="15" t="s">
        <v>4</v>
      </c>
      <c r="CE61" s="12">
        <v>0</v>
      </c>
      <c r="CF61" s="14">
        <v>0</v>
      </c>
      <c r="CG61" s="12">
        <f t="shared" si="186"/>
        <v>-4</v>
      </c>
      <c r="CH61" s="14">
        <f t="shared" si="187"/>
        <v>-135052.38095237</v>
      </c>
      <c r="CI61" s="13">
        <f t="shared" si="188"/>
        <v>-1</v>
      </c>
      <c r="CK61" s="16"/>
      <c r="CL61" s="15" t="s">
        <v>4</v>
      </c>
      <c r="CM61" s="12">
        <v>2</v>
      </c>
      <c r="CN61" s="14">
        <v>63133.333333319999</v>
      </c>
      <c r="CO61" s="12">
        <f t="shared" si="189"/>
        <v>2</v>
      </c>
      <c r="CP61" s="14">
        <f t="shared" si="190"/>
        <v>63133.333333319999</v>
      </c>
      <c r="CQ61" s="13" t="e">
        <f t="shared" si="191"/>
        <v>#DIV/0!</v>
      </c>
      <c r="CS61" s="16"/>
      <c r="CT61" s="15" t="s">
        <v>4</v>
      </c>
      <c r="CU61" s="12">
        <v>2</v>
      </c>
      <c r="CV61" s="14">
        <v>68380.95238095001</v>
      </c>
      <c r="CW61" s="12">
        <f t="shared" si="192"/>
        <v>0</v>
      </c>
      <c r="CX61" s="14">
        <f t="shared" si="193"/>
        <v>5247.6190476300108</v>
      </c>
      <c r="CY61" s="13">
        <f t="shared" si="194"/>
        <v>8.3119625886448556E-2</v>
      </c>
    </row>
    <row r="62" spans="1:103" s="12" customFormat="1" ht="20" customHeight="1">
      <c r="A62" s="16"/>
      <c r="B62" s="15" t="s">
        <v>3</v>
      </c>
      <c r="C62" s="12">
        <v>13</v>
      </c>
      <c r="D62" s="14">
        <v>203999.99999996999</v>
      </c>
      <c r="F62" s="14"/>
      <c r="G62" s="13"/>
      <c r="I62" s="16"/>
      <c r="J62" s="15" t="s">
        <v>3</v>
      </c>
      <c r="K62" s="12">
        <v>12</v>
      </c>
      <c r="L62" s="14">
        <v>298857.1428571</v>
      </c>
      <c r="M62" s="12">
        <f t="shared" si="159"/>
        <v>-1</v>
      </c>
      <c r="N62" s="14">
        <f t="shared" si="160"/>
        <v>94857.142857130006</v>
      </c>
      <c r="O62" s="13">
        <f t="shared" si="161"/>
        <v>0.4649859943977645</v>
      </c>
      <c r="Q62" s="16"/>
      <c r="R62" s="15" t="s">
        <v>3</v>
      </c>
      <c r="S62" s="12">
        <v>13</v>
      </c>
      <c r="T62" s="14">
        <v>243047.61904756998</v>
      </c>
      <c r="U62" s="12">
        <f t="shared" si="162"/>
        <v>1</v>
      </c>
      <c r="V62" s="14">
        <f t="shared" si="163"/>
        <v>-55809.523809530016</v>
      </c>
      <c r="W62" s="13">
        <f t="shared" si="164"/>
        <v>-0.18674314850227827</v>
      </c>
      <c r="Y62" s="16"/>
      <c r="Z62" s="15" t="s">
        <v>3</v>
      </c>
      <c r="AA62" s="12">
        <v>19</v>
      </c>
      <c r="AB62" s="14">
        <v>342719.04761900002</v>
      </c>
      <c r="AC62" s="12">
        <f t="shared" si="165"/>
        <v>6</v>
      </c>
      <c r="AD62" s="14">
        <f t="shared" si="166"/>
        <v>99671.428571430035</v>
      </c>
      <c r="AE62" s="13">
        <f t="shared" si="167"/>
        <v>0.41009012539193834</v>
      </c>
      <c r="AG62" s="16"/>
      <c r="AH62" s="15" t="s">
        <v>3</v>
      </c>
      <c r="AI62" s="12">
        <v>20</v>
      </c>
      <c r="AJ62" s="14">
        <v>367142.8571428</v>
      </c>
      <c r="AK62" s="12">
        <f t="shared" si="168"/>
        <v>1</v>
      </c>
      <c r="AL62" s="14">
        <f t="shared" si="169"/>
        <v>24423.809523799981</v>
      </c>
      <c r="AM62" s="13">
        <f t="shared" si="170"/>
        <v>7.1264814994910566E-2</v>
      </c>
      <c r="AO62" s="16"/>
      <c r="AP62" s="15" t="s">
        <v>3</v>
      </c>
      <c r="AQ62" s="12">
        <v>27</v>
      </c>
      <c r="AR62" s="14">
        <v>469480.95238089998</v>
      </c>
      <c r="AS62" s="12">
        <f t="shared" si="171"/>
        <v>7</v>
      </c>
      <c r="AT62" s="14">
        <f t="shared" si="172"/>
        <v>102338.09523809998</v>
      </c>
      <c r="AU62" s="13">
        <f t="shared" si="173"/>
        <v>0.27874189364467367</v>
      </c>
      <c r="AW62" s="16"/>
      <c r="AX62" s="15" t="s">
        <v>3</v>
      </c>
      <c r="AY62" s="12">
        <v>26</v>
      </c>
      <c r="AZ62" s="14">
        <v>540380.95238089003</v>
      </c>
      <c r="BA62" s="12">
        <f t="shared" si="174"/>
        <v>-1</v>
      </c>
      <c r="BB62" s="14">
        <f t="shared" si="175"/>
        <v>70899.999999990046</v>
      </c>
      <c r="BC62" s="13">
        <f t="shared" si="176"/>
        <v>0.15101784138511196</v>
      </c>
      <c r="BE62" s="16"/>
      <c r="BF62" s="15" t="s">
        <v>3</v>
      </c>
      <c r="BG62" s="12">
        <v>24</v>
      </c>
      <c r="BH62" s="14">
        <v>433904.76190471003</v>
      </c>
      <c r="BI62" s="12">
        <f t="shared" si="177"/>
        <v>-2</v>
      </c>
      <c r="BJ62" s="14">
        <f t="shared" si="178"/>
        <v>-106476.19047618</v>
      </c>
      <c r="BK62" s="13">
        <f t="shared" si="179"/>
        <v>-0.19703912583715527</v>
      </c>
      <c r="BL62" s="35"/>
      <c r="BM62" s="16"/>
      <c r="BN62" s="15" t="s">
        <v>3</v>
      </c>
      <c r="BO62" s="12">
        <v>18</v>
      </c>
      <c r="BP62" s="14">
        <v>323999.99999996001</v>
      </c>
      <c r="BQ62" s="12">
        <f t="shared" si="180"/>
        <v>-6</v>
      </c>
      <c r="BR62" s="14">
        <f t="shared" si="181"/>
        <v>-109904.76190475002</v>
      </c>
      <c r="BS62" s="13">
        <f t="shared" si="182"/>
        <v>-0.2532923617208106</v>
      </c>
      <c r="BU62" s="16"/>
      <c r="BV62" s="15" t="s">
        <v>3</v>
      </c>
      <c r="BW62" s="12">
        <v>13</v>
      </c>
      <c r="BX62" s="14">
        <v>233431.42857137998</v>
      </c>
      <c r="BY62" s="12">
        <f t="shared" si="183"/>
        <v>-5</v>
      </c>
      <c r="BZ62" s="14">
        <f t="shared" si="184"/>
        <v>-90568.571428580035</v>
      </c>
      <c r="CA62" s="13">
        <f t="shared" si="185"/>
        <v>-0.27953262786602229</v>
      </c>
      <c r="CC62" s="16"/>
      <c r="CD62" s="15" t="s">
        <v>3</v>
      </c>
      <c r="CE62" s="12">
        <v>12</v>
      </c>
      <c r="CF62" s="14">
        <v>200476.19047614999</v>
      </c>
      <c r="CG62" s="12">
        <f t="shared" si="186"/>
        <v>-1</v>
      </c>
      <c r="CH62" s="14">
        <f t="shared" si="187"/>
        <v>-32955.238095229986</v>
      </c>
      <c r="CI62" s="13">
        <f t="shared" si="188"/>
        <v>-0.14117738256977144</v>
      </c>
      <c r="CK62" s="16"/>
      <c r="CL62" s="15" t="s">
        <v>3</v>
      </c>
      <c r="CM62" s="12">
        <v>11</v>
      </c>
      <c r="CN62" s="14">
        <v>208190.47619045002</v>
      </c>
      <c r="CO62" s="12">
        <f t="shared" si="189"/>
        <v>-1</v>
      </c>
      <c r="CP62" s="14">
        <f t="shared" si="190"/>
        <v>7714.2857143000292</v>
      </c>
      <c r="CQ62" s="13">
        <f t="shared" si="191"/>
        <v>3.8479809976326204E-2</v>
      </c>
      <c r="CS62" s="16"/>
      <c r="CT62" s="15" t="s">
        <v>3</v>
      </c>
      <c r="CU62" s="12">
        <v>8</v>
      </c>
      <c r="CV62" s="14">
        <v>168777.14285713001</v>
      </c>
      <c r="CW62" s="12">
        <f t="shared" si="192"/>
        <v>-3</v>
      </c>
      <c r="CX62" s="14">
        <f t="shared" si="193"/>
        <v>-39413.333333320013</v>
      </c>
      <c r="CY62" s="13">
        <f t="shared" si="194"/>
        <v>-0.189313815187517</v>
      </c>
    </row>
    <row r="63" spans="1:103" s="12" customFormat="1" ht="20" customHeight="1">
      <c r="A63" s="16"/>
      <c r="B63" s="15" t="s">
        <v>2</v>
      </c>
      <c r="C63" s="12">
        <v>28</v>
      </c>
      <c r="D63" s="14">
        <v>933999.99999992992</v>
      </c>
      <c r="F63" s="14"/>
      <c r="G63" s="13"/>
      <c r="I63" s="16"/>
      <c r="J63" s="15" t="s">
        <v>2</v>
      </c>
      <c r="K63" s="12">
        <v>15</v>
      </c>
      <c r="L63" s="14">
        <v>583809.52380949003</v>
      </c>
      <c r="M63" s="12">
        <f t="shared" si="159"/>
        <v>-13</v>
      </c>
      <c r="N63" s="14">
        <f t="shared" si="160"/>
        <v>-350190.47619043989</v>
      </c>
      <c r="O63" s="13">
        <f t="shared" si="161"/>
        <v>-0.37493627001120572</v>
      </c>
      <c r="Q63" s="16"/>
      <c r="R63" s="15" t="s">
        <v>2</v>
      </c>
      <c r="S63" s="12">
        <v>15</v>
      </c>
      <c r="T63" s="14">
        <v>533705.71428566996</v>
      </c>
      <c r="U63" s="12">
        <f t="shared" si="162"/>
        <v>0</v>
      </c>
      <c r="V63" s="14">
        <f t="shared" si="163"/>
        <v>-50103.809523820062</v>
      </c>
      <c r="W63" s="13">
        <f t="shared" si="164"/>
        <v>-8.5822185970659229E-2</v>
      </c>
      <c r="Y63" s="16"/>
      <c r="Z63" s="15" t="s">
        <v>2</v>
      </c>
      <c r="AA63" s="12">
        <v>29</v>
      </c>
      <c r="AB63" s="14">
        <v>1082858.0952380102</v>
      </c>
      <c r="AC63" s="12">
        <f t="shared" si="165"/>
        <v>14</v>
      </c>
      <c r="AD63" s="14">
        <f t="shared" si="166"/>
        <v>549152.3809523402</v>
      </c>
      <c r="AE63" s="13">
        <f t="shared" si="167"/>
        <v>1.0289422920782187</v>
      </c>
      <c r="AG63" s="16"/>
      <c r="AH63" s="15" t="s">
        <v>2</v>
      </c>
      <c r="AI63" s="12">
        <v>49</v>
      </c>
      <c r="AJ63" s="14">
        <v>1722990.4761903498</v>
      </c>
      <c r="AK63" s="12">
        <f t="shared" si="168"/>
        <v>20</v>
      </c>
      <c r="AL63" s="14">
        <f t="shared" si="169"/>
        <v>640132.38095233962</v>
      </c>
      <c r="AM63" s="13">
        <f t="shared" si="170"/>
        <v>0.59115075536433948</v>
      </c>
      <c r="AO63" s="16"/>
      <c r="AP63" s="15" t="s">
        <v>2</v>
      </c>
      <c r="AQ63" s="12">
        <v>25</v>
      </c>
      <c r="AR63" s="14">
        <v>895181.90476182988</v>
      </c>
      <c r="AS63" s="12">
        <f t="shared" si="171"/>
        <v>-24</v>
      </c>
      <c r="AT63" s="14">
        <f t="shared" si="172"/>
        <v>-827808.57142851991</v>
      </c>
      <c r="AU63" s="13">
        <f t="shared" si="173"/>
        <v>-0.48044872149198498</v>
      </c>
      <c r="AW63" s="16"/>
      <c r="AX63" s="15" t="s">
        <v>2</v>
      </c>
      <c r="AY63" s="12">
        <v>22</v>
      </c>
      <c r="AZ63" s="14">
        <v>824669.5238094501</v>
      </c>
      <c r="BA63" s="12">
        <f t="shared" si="174"/>
        <v>-3</v>
      </c>
      <c r="BB63" s="14">
        <f t="shared" si="175"/>
        <v>-70512.380952379783</v>
      </c>
      <c r="BC63" s="13">
        <f t="shared" si="176"/>
        <v>-7.876877378474284E-2</v>
      </c>
      <c r="BE63" s="16"/>
      <c r="BF63" s="15" t="s">
        <v>2</v>
      </c>
      <c r="BG63" s="12">
        <v>22</v>
      </c>
      <c r="BH63" s="14">
        <v>860285.71428565995</v>
      </c>
      <c r="BI63" s="12">
        <f t="shared" si="177"/>
        <v>0</v>
      </c>
      <c r="BJ63" s="14">
        <f t="shared" si="178"/>
        <v>35616.190476209857</v>
      </c>
      <c r="BK63" s="13">
        <f t="shared" si="179"/>
        <v>4.3188440275670245E-2</v>
      </c>
      <c r="BL63" s="35"/>
      <c r="BM63" s="16"/>
      <c r="BN63" s="15" t="s">
        <v>2</v>
      </c>
      <c r="BO63" s="12">
        <v>22</v>
      </c>
      <c r="BP63" s="14">
        <v>773142.85714277986</v>
      </c>
      <c r="BQ63" s="12">
        <f t="shared" si="180"/>
        <v>0</v>
      </c>
      <c r="BR63" s="14">
        <f t="shared" si="181"/>
        <v>-87142.857142880093</v>
      </c>
      <c r="BS63" s="13">
        <f t="shared" si="182"/>
        <v>-0.10129525074729312</v>
      </c>
      <c r="BU63" s="16"/>
      <c r="BV63" s="15" t="s">
        <v>2</v>
      </c>
      <c r="BW63" s="12">
        <v>24</v>
      </c>
      <c r="BX63" s="14">
        <v>793428.5714285</v>
      </c>
      <c r="BY63" s="12">
        <f t="shared" si="183"/>
        <v>2</v>
      </c>
      <c r="BZ63" s="14">
        <f t="shared" si="184"/>
        <v>20285.71428572014</v>
      </c>
      <c r="CA63" s="13">
        <f t="shared" si="185"/>
        <v>2.6237989652633992E-2</v>
      </c>
      <c r="CC63" s="16"/>
      <c r="CD63" s="15" t="s">
        <v>2</v>
      </c>
      <c r="CE63" s="12">
        <v>10</v>
      </c>
      <c r="CF63" s="14">
        <v>347717.14285711001</v>
      </c>
      <c r="CG63" s="12">
        <f t="shared" si="186"/>
        <v>-14</v>
      </c>
      <c r="CH63" s="14">
        <f t="shared" si="187"/>
        <v>-445711.42857138999</v>
      </c>
      <c r="CI63" s="13">
        <f t="shared" si="188"/>
        <v>-0.56175369103349138</v>
      </c>
      <c r="CK63" s="16"/>
      <c r="CL63" s="15" t="s">
        <v>2</v>
      </c>
      <c r="CM63" s="12">
        <v>17</v>
      </c>
      <c r="CN63" s="14">
        <v>594389.52380946989</v>
      </c>
      <c r="CO63" s="12">
        <f t="shared" si="189"/>
        <v>7</v>
      </c>
      <c r="CP63" s="14">
        <f t="shared" si="190"/>
        <v>246672.38095235988</v>
      </c>
      <c r="CQ63" s="13">
        <f t="shared" si="191"/>
        <v>0.70940529110963846</v>
      </c>
      <c r="CS63" s="16"/>
      <c r="CT63" s="15" t="s">
        <v>2</v>
      </c>
      <c r="CU63" s="12">
        <v>12</v>
      </c>
      <c r="CV63" s="14">
        <v>446098.09523806005</v>
      </c>
      <c r="CW63" s="12">
        <f t="shared" si="192"/>
        <v>-5</v>
      </c>
      <c r="CX63" s="14">
        <f t="shared" si="193"/>
        <v>-148291.42857140984</v>
      </c>
      <c r="CY63" s="13">
        <f t="shared" si="194"/>
        <v>-0.24948526619547939</v>
      </c>
    </row>
    <row r="64" spans="1:103" s="1" customFormat="1" ht="20" customHeight="1">
      <c r="A64" s="11" t="s">
        <v>1</v>
      </c>
      <c r="B64" s="11"/>
      <c r="C64" s="10">
        <v>306</v>
      </c>
      <c r="D64" s="9">
        <v>1787100.4761896199</v>
      </c>
      <c r="E64" s="29"/>
      <c r="F64" s="30"/>
      <c r="G64" s="31"/>
      <c r="I64" s="11" t="s">
        <v>1</v>
      </c>
      <c r="J64" s="11"/>
      <c r="K64" s="10">
        <v>285</v>
      </c>
      <c r="L64" s="9">
        <v>1581402.3809517599</v>
      </c>
      <c r="M64" s="10">
        <f t="shared" si="159"/>
        <v>-21</v>
      </c>
      <c r="N64" s="9">
        <f t="shared" si="160"/>
        <v>-205698.09523785999</v>
      </c>
      <c r="O64" s="8">
        <f t="shared" si="161"/>
        <v>-0.11510158381046419</v>
      </c>
      <c r="Q64" s="11" t="s">
        <v>1</v>
      </c>
      <c r="R64" s="11"/>
      <c r="S64" s="10">
        <v>254</v>
      </c>
      <c r="T64" s="9">
        <v>1643378.57142779</v>
      </c>
      <c r="U64" s="10">
        <f t="shared" si="162"/>
        <v>-31</v>
      </c>
      <c r="V64" s="9">
        <f t="shared" si="163"/>
        <v>61976.190476030111</v>
      </c>
      <c r="W64" s="8">
        <f t="shared" si="164"/>
        <v>3.9190652058288936E-2</v>
      </c>
      <c r="Y64" s="11" t="s">
        <v>1</v>
      </c>
      <c r="Z64" s="11"/>
      <c r="AA64" s="10">
        <v>359</v>
      </c>
      <c r="AB64" s="9">
        <v>2379177.1428562202</v>
      </c>
      <c r="AC64" s="10">
        <f t="shared" si="165"/>
        <v>105</v>
      </c>
      <c r="AD64" s="9">
        <f t="shared" si="166"/>
        <v>735798.57142843027</v>
      </c>
      <c r="AE64" s="8">
        <f t="shared" si="167"/>
        <v>0.44773528401867763</v>
      </c>
      <c r="AG64" s="11" t="s">
        <v>1</v>
      </c>
      <c r="AH64" s="11"/>
      <c r="AI64" s="10">
        <v>562</v>
      </c>
      <c r="AJ64" s="9">
        <v>3528735.2380939401</v>
      </c>
      <c r="AK64" s="10">
        <f t="shared" si="168"/>
        <v>203</v>
      </c>
      <c r="AL64" s="9">
        <f t="shared" si="169"/>
        <v>1149558.0952377198</v>
      </c>
      <c r="AM64" s="8">
        <f t="shared" si="170"/>
        <v>0.48317465502281459</v>
      </c>
      <c r="AO64" s="11" t="s">
        <v>1</v>
      </c>
      <c r="AP64" s="11"/>
      <c r="AQ64" s="10">
        <v>344</v>
      </c>
      <c r="AR64" s="9">
        <v>2149649.0476182699</v>
      </c>
      <c r="AS64" s="10">
        <f t="shared" si="171"/>
        <v>-218</v>
      </c>
      <c r="AT64" s="9">
        <f t="shared" si="172"/>
        <v>-1379086.1904756702</v>
      </c>
      <c r="AU64" s="8">
        <f t="shared" si="173"/>
        <v>-0.39081599990499399</v>
      </c>
      <c r="AW64" s="11" t="s">
        <v>1</v>
      </c>
      <c r="AX64" s="11"/>
      <c r="AY64" s="10">
        <v>339</v>
      </c>
      <c r="AZ64" s="9">
        <v>2407741.9047610001</v>
      </c>
      <c r="BA64" s="10">
        <f t="shared" si="174"/>
        <v>-5</v>
      </c>
      <c r="BB64" s="9">
        <f t="shared" si="175"/>
        <v>258092.85714273015</v>
      </c>
      <c r="BC64" s="8">
        <f t="shared" si="176"/>
        <v>0.12006278765768175</v>
      </c>
      <c r="BE64" s="11" t="s">
        <v>1</v>
      </c>
      <c r="BF64" s="11"/>
      <c r="BG64" s="10">
        <v>392</v>
      </c>
      <c r="BH64" s="9">
        <v>2584735.2380943899</v>
      </c>
      <c r="BI64" s="10">
        <f t="shared" si="177"/>
        <v>53</v>
      </c>
      <c r="BJ64" s="9">
        <f t="shared" si="178"/>
        <v>176993.33333338983</v>
      </c>
      <c r="BK64" s="8">
        <f t="shared" si="179"/>
        <v>7.351009382833279E-2</v>
      </c>
      <c r="BL64" s="37"/>
      <c r="BM64" s="11" t="s">
        <v>1</v>
      </c>
      <c r="BN64" s="11"/>
      <c r="BO64" s="10">
        <v>273</v>
      </c>
      <c r="BP64" s="9">
        <v>1670937.1428564601</v>
      </c>
      <c r="BQ64" s="10">
        <f t="shared" si="180"/>
        <v>-119</v>
      </c>
      <c r="BR64" s="9">
        <f t="shared" si="181"/>
        <v>-913798.09523792984</v>
      </c>
      <c r="BS64" s="8">
        <f t="shared" si="182"/>
        <v>-0.35353644031704867</v>
      </c>
      <c r="BU64" s="11" t="s">
        <v>1</v>
      </c>
      <c r="BV64" s="11"/>
      <c r="BW64" s="10">
        <v>228</v>
      </c>
      <c r="BX64" s="9">
        <v>1531214.76190411</v>
      </c>
      <c r="BY64" s="10">
        <f t="shared" si="183"/>
        <v>-45</v>
      </c>
      <c r="BZ64" s="9">
        <f t="shared" si="184"/>
        <v>-139722.3809523501</v>
      </c>
      <c r="CA64" s="8">
        <f t="shared" si="185"/>
        <v>-8.3619172360664185E-2</v>
      </c>
      <c r="CC64" s="11" t="s">
        <v>1</v>
      </c>
      <c r="CD64" s="11"/>
      <c r="CE64" s="10">
        <v>221</v>
      </c>
      <c r="CF64" s="9">
        <v>1003219.9999994601</v>
      </c>
      <c r="CG64" s="10">
        <f t="shared" si="186"/>
        <v>-7</v>
      </c>
      <c r="CH64" s="9">
        <f t="shared" si="187"/>
        <v>-527994.7619046499</v>
      </c>
      <c r="CI64" s="8">
        <f t="shared" si="188"/>
        <v>-0.34482084096947518</v>
      </c>
      <c r="CK64" s="11" t="s">
        <v>1</v>
      </c>
      <c r="CL64" s="11"/>
      <c r="CM64" s="10">
        <v>196</v>
      </c>
      <c r="CN64" s="9">
        <v>1266007.6190470599</v>
      </c>
      <c r="CO64" s="10">
        <f t="shared" si="189"/>
        <v>-25</v>
      </c>
      <c r="CP64" s="9">
        <f t="shared" si="190"/>
        <v>262787.61904759984</v>
      </c>
      <c r="CQ64" s="8">
        <f t="shared" si="191"/>
        <v>0.26194415885622424</v>
      </c>
      <c r="CS64" s="11" t="s">
        <v>1</v>
      </c>
      <c r="CT64" s="11"/>
      <c r="CU64" s="10">
        <v>202</v>
      </c>
      <c r="CV64" s="9">
        <v>1096016.1904756601</v>
      </c>
      <c r="CW64" s="10">
        <f t="shared" si="192"/>
        <v>6</v>
      </c>
      <c r="CX64" s="9">
        <f t="shared" si="193"/>
        <v>-169991.42857139977</v>
      </c>
      <c r="CY64" s="8">
        <f t="shared" si="194"/>
        <v>-0.13427362206505083</v>
      </c>
    </row>
    <row r="65" spans="1:103" s="1" customFormat="1" ht="20" customHeight="1">
      <c r="A65" s="5" t="s">
        <v>0</v>
      </c>
      <c r="B65" s="5"/>
      <c r="C65" s="4">
        <v>2467</v>
      </c>
      <c r="D65" s="3">
        <v>19313405.238090537</v>
      </c>
      <c r="E65" s="7"/>
      <c r="F65" s="6"/>
      <c r="G65" s="32"/>
      <c r="I65" s="5" t="s">
        <v>0</v>
      </c>
      <c r="J65" s="5"/>
      <c r="K65" s="4">
        <v>2657</v>
      </c>
      <c r="L65" s="3">
        <v>26265369.523804892</v>
      </c>
      <c r="M65" s="4">
        <f t="shared" si="159"/>
        <v>190</v>
      </c>
      <c r="N65" s="3">
        <f t="shared" si="160"/>
        <v>6951964.2857143544</v>
      </c>
      <c r="O65" s="2">
        <f t="shared" si="161"/>
        <v>0.35995538849894065</v>
      </c>
      <c r="Q65" s="5" t="s">
        <v>0</v>
      </c>
      <c r="R65" s="5"/>
      <c r="S65" s="4">
        <v>2691</v>
      </c>
      <c r="T65" s="3">
        <v>27760674.285709754</v>
      </c>
      <c r="U65" s="4">
        <f t="shared" si="162"/>
        <v>34</v>
      </c>
      <c r="V65" s="3">
        <f t="shared" si="163"/>
        <v>1495304.7619048618</v>
      </c>
      <c r="W65" s="2">
        <f t="shared" si="164"/>
        <v>5.6930657706895524E-2</v>
      </c>
      <c r="Y65" s="5" t="s">
        <v>0</v>
      </c>
      <c r="Z65" s="5"/>
      <c r="AA65" s="4">
        <v>3176</v>
      </c>
      <c r="AB65" s="3">
        <v>28473141.428565774</v>
      </c>
      <c r="AC65" s="4">
        <f t="shared" si="165"/>
        <v>485</v>
      </c>
      <c r="AD65" s="3">
        <f t="shared" si="166"/>
        <v>712467.14285602048</v>
      </c>
      <c r="AE65" s="2">
        <f t="shared" si="167"/>
        <v>2.5664619508999974E-2</v>
      </c>
      <c r="AG65" s="5" t="s">
        <v>0</v>
      </c>
      <c r="AH65" s="5"/>
      <c r="AI65" s="4">
        <v>4187</v>
      </c>
      <c r="AJ65" s="3">
        <v>33273402.380945627</v>
      </c>
      <c r="AK65" s="4">
        <f t="shared" si="168"/>
        <v>1011</v>
      </c>
      <c r="AL65" s="3">
        <f t="shared" si="169"/>
        <v>4800260.9523798525</v>
      </c>
      <c r="AM65" s="2">
        <f t="shared" si="170"/>
        <v>0.16858908822628102</v>
      </c>
      <c r="AO65" s="5" t="s">
        <v>0</v>
      </c>
      <c r="AP65" s="5"/>
      <c r="AQ65" s="4">
        <v>2704</v>
      </c>
      <c r="AR65" s="3">
        <v>22031555.23809031</v>
      </c>
      <c r="AS65" s="4">
        <f t="shared" si="171"/>
        <v>-1483</v>
      </c>
      <c r="AT65" s="3">
        <f t="shared" si="172"/>
        <v>-11241847.142855316</v>
      </c>
      <c r="AU65" s="2">
        <f t="shared" si="173"/>
        <v>-0.33786286758859024</v>
      </c>
      <c r="AW65" s="5" t="s">
        <v>0</v>
      </c>
      <c r="AX65" s="5"/>
      <c r="AY65" s="4">
        <v>2044</v>
      </c>
      <c r="AZ65" s="3">
        <v>16247634.761900498</v>
      </c>
      <c r="BA65" s="4">
        <f t="shared" si="174"/>
        <v>-660</v>
      </c>
      <c r="BB65" s="3">
        <f t="shared" si="175"/>
        <v>-5783920.4761898126</v>
      </c>
      <c r="BC65" s="2">
        <f t="shared" si="176"/>
        <v>-0.2625289233412812</v>
      </c>
      <c r="BE65" s="5" t="s">
        <v>0</v>
      </c>
      <c r="BF65" s="5"/>
      <c r="BG65" s="4">
        <v>1528</v>
      </c>
      <c r="BH65" s="3">
        <v>10517684.761901541</v>
      </c>
      <c r="BI65" s="4">
        <f t="shared" si="177"/>
        <v>-516</v>
      </c>
      <c r="BJ65" s="3">
        <f t="shared" si="178"/>
        <v>-5729949.9999989569</v>
      </c>
      <c r="BK65" s="2">
        <f t="shared" si="179"/>
        <v>-0.35266363898302699</v>
      </c>
      <c r="BL65" s="37"/>
      <c r="BM65" s="5" t="s">
        <v>0</v>
      </c>
      <c r="BN65" s="5"/>
      <c r="BO65" s="4">
        <v>1457</v>
      </c>
      <c r="BP65" s="3">
        <v>9613579.9999969006</v>
      </c>
      <c r="BQ65" s="4">
        <f t="shared" si="180"/>
        <v>-71</v>
      </c>
      <c r="BR65" s="3">
        <f t="shared" si="181"/>
        <v>-904104.76190464012</v>
      </c>
      <c r="BS65" s="2">
        <f t="shared" si="182"/>
        <v>-8.5960435435334617E-2</v>
      </c>
      <c r="BU65" s="5" t="s">
        <v>0</v>
      </c>
      <c r="BV65" s="5"/>
      <c r="BW65" s="4">
        <v>1215</v>
      </c>
      <c r="BX65" s="3">
        <v>8094495.7142829001</v>
      </c>
      <c r="BY65" s="4">
        <f t="shared" si="183"/>
        <v>-242</v>
      </c>
      <c r="BZ65" s="3">
        <f t="shared" si="184"/>
        <v>-1519084.2857140005</v>
      </c>
      <c r="CA65" s="2">
        <f t="shared" si="185"/>
        <v>-0.15801442186100187</v>
      </c>
      <c r="CC65" s="5" t="s">
        <v>0</v>
      </c>
      <c r="CD65" s="5"/>
      <c r="CE65" s="4">
        <v>1396</v>
      </c>
      <c r="CF65" s="3">
        <v>10059059.047616167</v>
      </c>
      <c r="CG65" s="4">
        <f t="shared" si="186"/>
        <v>181</v>
      </c>
      <c r="CH65" s="3">
        <f t="shared" si="187"/>
        <v>1964563.3333332669</v>
      </c>
      <c r="CI65" s="2">
        <f t="shared" si="188"/>
        <v>0.24270361028998452</v>
      </c>
      <c r="CK65" s="5" t="s">
        <v>0</v>
      </c>
      <c r="CL65" s="5"/>
      <c r="CM65" s="4">
        <v>1463</v>
      </c>
      <c r="CN65" s="3">
        <v>11792159.04761591</v>
      </c>
      <c r="CO65" s="4">
        <f t="shared" si="189"/>
        <v>67</v>
      </c>
      <c r="CP65" s="3">
        <f t="shared" si="190"/>
        <v>1733099.999999743</v>
      </c>
      <c r="CQ65" s="2">
        <f t="shared" si="191"/>
        <v>0.17229245715686095</v>
      </c>
      <c r="CS65" s="5" t="s">
        <v>0</v>
      </c>
      <c r="CT65" s="5"/>
      <c r="CU65" s="4">
        <v>1449</v>
      </c>
      <c r="CV65" s="3">
        <v>9768771.9047587533</v>
      </c>
      <c r="CW65" s="4">
        <f t="shared" si="192"/>
        <v>-14</v>
      </c>
      <c r="CX65" s="3">
        <f t="shared" si="193"/>
        <v>-2023387.1428571567</v>
      </c>
      <c r="CY65" s="2">
        <f t="shared" si="194"/>
        <v>-0.17158750443297632</v>
      </c>
    </row>
    <row r="75" spans="1:103" s="17" customFormat="1" ht="22" customHeight="1">
      <c r="A75" s="42"/>
      <c r="B75" s="34"/>
      <c r="D75" s="39"/>
      <c r="E75" s="40"/>
      <c r="F75" s="40"/>
      <c r="G75" s="40"/>
      <c r="I75" s="42"/>
      <c r="J75" s="34"/>
      <c r="L75" s="39"/>
      <c r="M75" s="40"/>
      <c r="N75" s="40"/>
      <c r="O75" s="40"/>
      <c r="Q75" s="42"/>
      <c r="R75" s="34"/>
      <c r="T75" s="39"/>
      <c r="U75" s="40"/>
      <c r="V75" s="40"/>
      <c r="W75" s="40"/>
      <c r="Y75" s="42"/>
      <c r="Z75" s="34"/>
      <c r="AB75" s="39"/>
      <c r="AC75" s="40"/>
      <c r="AD75" s="40"/>
      <c r="AE75" s="40"/>
      <c r="AG75" s="42"/>
      <c r="AH75" s="34"/>
      <c r="AJ75" s="39"/>
      <c r="AK75" s="40"/>
      <c r="AL75" s="40"/>
      <c r="AM75" s="40"/>
      <c r="AO75" s="42"/>
      <c r="AP75" s="34"/>
      <c r="AR75" s="39"/>
      <c r="AS75" s="40"/>
      <c r="AT75" s="40"/>
      <c r="AU75" s="40"/>
      <c r="AW75" s="42"/>
      <c r="AX75" s="34"/>
      <c r="AZ75" s="39"/>
      <c r="BA75" s="40"/>
      <c r="BB75" s="40"/>
      <c r="BC75" s="40"/>
      <c r="BE75" s="42"/>
      <c r="BF75" s="34"/>
      <c r="BH75" s="39"/>
      <c r="BI75" s="40"/>
      <c r="BJ75" s="40"/>
      <c r="BK75" s="40"/>
      <c r="BM75" s="42"/>
      <c r="BN75" s="34"/>
      <c r="BP75" s="39"/>
      <c r="BQ75" s="40"/>
      <c r="BR75" s="40"/>
      <c r="BS75" s="40"/>
      <c r="BU75" s="42"/>
      <c r="BV75" s="34"/>
      <c r="BW75" s="39"/>
      <c r="BX75" s="40"/>
      <c r="BY75" s="40"/>
      <c r="BZ75" s="40"/>
      <c r="CB75" s="34"/>
      <c r="CC75" s="42"/>
      <c r="CD75" s="34"/>
      <c r="CE75" s="39"/>
      <c r="CF75" s="40"/>
      <c r="CG75" s="40"/>
      <c r="CH75" s="40"/>
      <c r="CJ75" s="34"/>
      <c r="CK75" s="42"/>
      <c r="CL75" s="34"/>
      <c r="CM75" s="39"/>
      <c r="CN75" s="40"/>
      <c r="CO75" s="40"/>
      <c r="CP75" s="40"/>
      <c r="CR75" s="34"/>
      <c r="CS75" s="42"/>
      <c r="CT75" s="34"/>
      <c r="CU75" s="39"/>
      <c r="CV75" s="39"/>
      <c r="CW75" s="40"/>
      <c r="CX75" s="40"/>
      <c r="CY75" s="40"/>
    </row>
    <row r="76" spans="1:103" s="17" customFormat="1" ht="22" customHeight="1">
      <c r="A76" s="42"/>
      <c r="B76" s="34"/>
      <c r="D76" s="39"/>
      <c r="E76" s="40"/>
      <c r="F76" s="40"/>
      <c r="G76" s="40"/>
      <c r="I76" s="42"/>
      <c r="J76" s="34"/>
      <c r="L76" s="39"/>
      <c r="M76" s="40"/>
      <c r="N76" s="40"/>
      <c r="O76" s="40"/>
      <c r="Q76" s="42"/>
      <c r="R76" s="34"/>
      <c r="T76" s="39"/>
      <c r="U76" s="40"/>
      <c r="V76" s="40"/>
      <c r="W76" s="40"/>
      <c r="Y76" s="42"/>
      <c r="Z76" s="34"/>
      <c r="AB76" s="39"/>
      <c r="AC76" s="40"/>
      <c r="AD76" s="40"/>
      <c r="AE76" s="40"/>
      <c r="AG76" s="42"/>
      <c r="AH76" s="34"/>
      <c r="AJ76" s="39"/>
      <c r="AK76" s="40"/>
      <c r="AL76" s="40"/>
      <c r="AM76" s="40"/>
      <c r="AO76" s="42"/>
      <c r="AP76" s="34"/>
      <c r="AR76" s="39"/>
      <c r="AS76" s="40"/>
      <c r="AT76" s="40"/>
      <c r="AU76" s="40"/>
      <c r="AW76" s="42"/>
      <c r="AX76" s="34"/>
      <c r="AZ76" s="39"/>
      <c r="BA76" s="40"/>
      <c r="BB76" s="40"/>
      <c r="BC76" s="40"/>
      <c r="BE76" s="42"/>
      <c r="BF76" s="34"/>
      <c r="BH76" s="39"/>
      <c r="BI76" s="40"/>
      <c r="BJ76" s="40"/>
      <c r="BK76" s="40"/>
      <c r="BM76" s="42"/>
      <c r="BN76" s="34"/>
      <c r="BP76" s="39"/>
      <c r="BQ76" s="40"/>
      <c r="BR76" s="40"/>
      <c r="BS76" s="40"/>
      <c r="BU76" s="42"/>
      <c r="BV76" s="34"/>
      <c r="BW76" s="39"/>
      <c r="BX76" s="40"/>
      <c r="BY76" s="40"/>
      <c r="BZ76" s="40"/>
      <c r="CB76" s="34"/>
      <c r="CC76" s="42"/>
      <c r="CD76" s="34"/>
      <c r="CE76" s="39"/>
      <c r="CF76" s="40"/>
      <c r="CG76" s="40"/>
      <c r="CH76" s="40"/>
      <c r="CJ76" s="34"/>
      <c r="CK76" s="42"/>
      <c r="CL76" s="34"/>
      <c r="CM76" s="39"/>
      <c r="CN76" s="40"/>
      <c r="CO76" s="40"/>
      <c r="CP76" s="40"/>
      <c r="CR76" s="34"/>
      <c r="CS76" s="42"/>
      <c r="CT76" s="34"/>
      <c r="CU76" s="39"/>
      <c r="CV76" s="39"/>
      <c r="CW76" s="40"/>
      <c r="CX76" s="40"/>
      <c r="CY76" s="40"/>
    </row>
    <row r="77" spans="1:103" s="1" customFormat="1" ht="20" customHeight="1">
      <c r="A77" s="42"/>
      <c r="B77" s="34"/>
      <c r="D77" s="41"/>
      <c r="E77" s="12"/>
      <c r="F77" s="14"/>
      <c r="G77" s="35"/>
      <c r="I77" s="42"/>
      <c r="J77" s="34"/>
      <c r="L77" s="41"/>
      <c r="N77" s="41"/>
      <c r="O77" s="37"/>
      <c r="Q77" s="42"/>
      <c r="R77" s="34"/>
      <c r="T77" s="41"/>
      <c r="V77" s="41"/>
      <c r="W77" s="37"/>
      <c r="Y77" s="42"/>
      <c r="Z77" s="34"/>
      <c r="AB77" s="41"/>
      <c r="AC77" s="41"/>
      <c r="AD77" s="41"/>
      <c r="AE77" s="37"/>
      <c r="AG77" s="42"/>
      <c r="AH77" s="34"/>
      <c r="AJ77" s="41"/>
      <c r="AL77" s="41"/>
      <c r="AM77" s="37"/>
      <c r="AO77" s="42"/>
      <c r="AP77" s="34"/>
      <c r="AR77" s="41"/>
      <c r="AT77" s="41"/>
      <c r="AU77" s="37"/>
      <c r="AW77" s="42"/>
      <c r="AX77" s="34"/>
      <c r="AZ77" s="41"/>
      <c r="BB77" s="41"/>
      <c r="BC77" s="37"/>
      <c r="BE77" s="42"/>
      <c r="BF77" s="34"/>
      <c r="BH77" s="41"/>
      <c r="BJ77" s="41"/>
      <c r="BK77" s="37"/>
      <c r="BL77" s="37"/>
      <c r="BM77" s="42"/>
      <c r="BN77" s="34"/>
      <c r="BP77" s="41"/>
      <c r="BR77" s="41"/>
      <c r="BS77" s="37"/>
      <c r="BU77" s="42"/>
      <c r="BV77" s="34"/>
      <c r="BW77" s="41"/>
      <c r="BX77" s="41"/>
      <c r="BZ77" s="41"/>
      <c r="CA77" s="37"/>
      <c r="CC77" s="42"/>
      <c r="CD77" s="34"/>
      <c r="CE77" s="41"/>
      <c r="CF77" s="41"/>
      <c r="CH77" s="41"/>
      <c r="CI77" s="37"/>
      <c r="CK77" s="42"/>
      <c r="CL77" s="34"/>
      <c r="CM77" s="41"/>
      <c r="CN77" s="41"/>
      <c r="CP77" s="41"/>
      <c r="CQ77" s="37"/>
      <c r="CS77" s="42"/>
      <c r="CT77" s="34"/>
      <c r="CU77" s="41"/>
      <c r="CV77" s="41"/>
      <c r="CX77" s="41"/>
      <c r="CY77" s="37"/>
    </row>
    <row r="78" spans="1:103" s="1" customFormat="1" ht="20" customHeight="1">
      <c r="A78" s="42"/>
      <c r="B78" s="34"/>
      <c r="D78" s="41"/>
      <c r="E78" s="12"/>
      <c r="F78" s="14"/>
      <c r="G78" s="35"/>
      <c r="I78" s="42"/>
      <c r="J78" s="34"/>
      <c r="L78" s="41"/>
      <c r="N78" s="41"/>
      <c r="O78" s="37"/>
      <c r="Q78" s="42"/>
      <c r="R78" s="34"/>
      <c r="T78" s="41"/>
      <c r="V78" s="41"/>
      <c r="W78" s="37"/>
      <c r="Y78" s="42"/>
      <c r="Z78" s="34"/>
      <c r="AB78" s="41"/>
      <c r="AC78" s="41"/>
      <c r="AD78" s="41"/>
      <c r="AE78" s="37"/>
      <c r="AG78" s="42"/>
      <c r="AH78" s="34"/>
      <c r="AJ78" s="41"/>
      <c r="AL78" s="41"/>
      <c r="AM78" s="37"/>
      <c r="AO78" s="42"/>
      <c r="AP78" s="34"/>
      <c r="AR78" s="41"/>
      <c r="AT78" s="41"/>
      <c r="AU78" s="37"/>
      <c r="AW78" s="42"/>
      <c r="AX78" s="34"/>
      <c r="AZ78" s="41"/>
      <c r="BB78" s="41"/>
      <c r="BC78" s="37"/>
      <c r="BE78" s="42"/>
      <c r="BF78" s="34"/>
      <c r="BH78" s="41"/>
      <c r="BJ78" s="41"/>
      <c r="BK78" s="37"/>
      <c r="BL78" s="37"/>
      <c r="BM78" s="42"/>
      <c r="BN78" s="34"/>
      <c r="BP78" s="41"/>
      <c r="BR78" s="41"/>
      <c r="BS78" s="37"/>
      <c r="BU78" s="42"/>
      <c r="BV78" s="34"/>
      <c r="BW78" s="41"/>
      <c r="BX78" s="41"/>
      <c r="BZ78" s="41"/>
      <c r="CA78" s="37"/>
      <c r="CC78" s="42"/>
      <c r="CD78" s="34"/>
      <c r="CE78" s="41"/>
      <c r="CF78" s="41"/>
      <c r="CH78" s="41"/>
      <c r="CI78" s="37"/>
      <c r="CK78" s="42"/>
      <c r="CL78" s="34"/>
      <c r="CM78" s="41"/>
      <c r="CN78" s="41"/>
      <c r="CP78" s="41"/>
      <c r="CQ78" s="37"/>
      <c r="CS78" s="42"/>
      <c r="CT78" s="34"/>
      <c r="CU78" s="41"/>
      <c r="CV78" s="41"/>
      <c r="CX78" s="41"/>
      <c r="CY78" s="37"/>
    </row>
    <row r="79" spans="1:103" s="1" customFormat="1" ht="20" customHeight="1">
      <c r="A79" s="42"/>
      <c r="B79" s="34"/>
      <c r="D79" s="41"/>
      <c r="E79" s="12"/>
      <c r="F79" s="14"/>
      <c r="G79" s="35"/>
      <c r="I79" s="42"/>
      <c r="J79" s="34"/>
      <c r="L79" s="41"/>
      <c r="N79" s="41"/>
      <c r="O79" s="37"/>
      <c r="Q79" s="42"/>
      <c r="R79" s="34"/>
      <c r="T79" s="41"/>
      <c r="V79" s="41"/>
      <c r="W79" s="37"/>
      <c r="Y79" s="42"/>
      <c r="Z79" s="34"/>
      <c r="AB79" s="41"/>
      <c r="AC79" s="41"/>
      <c r="AD79" s="41"/>
      <c r="AE79" s="37"/>
      <c r="AG79" s="42"/>
      <c r="AH79" s="34"/>
      <c r="AJ79" s="41"/>
      <c r="AL79" s="41"/>
      <c r="AM79" s="37"/>
      <c r="AO79" s="42"/>
      <c r="AP79" s="34"/>
      <c r="AR79" s="41"/>
      <c r="AT79" s="41"/>
      <c r="AU79" s="37"/>
      <c r="AW79" s="42"/>
      <c r="AX79" s="34"/>
      <c r="AZ79" s="41"/>
      <c r="BB79" s="41"/>
      <c r="BC79" s="37"/>
      <c r="BE79" s="42"/>
      <c r="BF79" s="34"/>
      <c r="BH79" s="41"/>
      <c r="BJ79" s="41"/>
      <c r="BK79" s="37"/>
      <c r="BL79" s="37"/>
      <c r="BM79" s="42"/>
      <c r="BN79" s="34"/>
      <c r="BP79" s="41"/>
      <c r="BR79" s="41"/>
      <c r="BS79" s="37"/>
      <c r="BU79" s="42"/>
      <c r="BV79" s="34"/>
      <c r="BW79" s="41"/>
      <c r="BX79" s="41"/>
      <c r="BZ79" s="41"/>
      <c r="CA79" s="37"/>
      <c r="CC79" s="42"/>
      <c r="CD79" s="34"/>
      <c r="CE79" s="41"/>
      <c r="CF79" s="41"/>
      <c r="CH79" s="41"/>
      <c r="CI79" s="37"/>
      <c r="CK79" s="42"/>
      <c r="CL79" s="34"/>
      <c r="CM79" s="41"/>
      <c r="CN79" s="41"/>
      <c r="CP79" s="41"/>
      <c r="CQ79" s="37"/>
      <c r="CS79" s="42"/>
      <c r="CT79" s="34"/>
      <c r="CU79" s="41"/>
      <c r="CV79" s="41"/>
      <c r="CX79" s="41"/>
      <c r="CY79" s="37"/>
    </row>
    <row r="80" spans="1:103" s="1" customFormat="1" ht="20" customHeight="1">
      <c r="A80" s="42"/>
      <c r="B80" s="34"/>
      <c r="D80" s="41"/>
      <c r="E80" s="12"/>
      <c r="F80" s="14"/>
      <c r="G80" s="35"/>
      <c r="I80" s="42"/>
      <c r="J80" s="34"/>
      <c r="L80" s="41"/>
      <c r="N80" s="41"/>
      <c r="O80" s="37"/>
      <c r="Q80" s="42"/>
      <c r="R80" s="34"/>
      <c r="T80" s="41"/>
      <c r="V80" s="41"/>
      <c r="W80" s="37"/>
      <c r="Y80" s="42"/>
      <c r="Z80" s="34"/>
      <c r="AB80" s="41"/>
      <c r="AC80" s="41"/>
      <c r="AD80" s="41"/>
      <c r="AE80" s="37"/>
      <c r="AG80" s="42"/>
      <c r="AH80" s="34"/>
      <c r="AJ80" s="41"/>
      <c r="AL80" s="41"/>
      <c r="AM80" s="37"/>
      <c r="AO80" s="42"/>
      <c r="AP80" s="34"/>
      <c r="AR80" s="41"/>
      <c r="AT80" s="41"/>
      <c r="AU80" s="37"/>
      <c r="AW80" s="42"/>
      <c r="AX80" s="34"/>
      <c r="AZ80" s="41"/>
      <c r="BB80" s="41"/>
      <c r="BC80" s="37"/>
      <c r="BE80" s="42"/>
      <c r="BF80" s="34"/>
      <c r="BH80" s="41"/>
      <c r="BJ80" s="41"/>
      <c r="BK80" s="37"/>
      <c r="BL80" s="37"/>
      <c r="BM80" s="42"/>
      <c r="BN80" s="34"/>
      <c r="BP80" s="41"/>
      <c r="BR80" s="41"/>
      <c r="BS80" s="37"/>
      <c r="BU80" s="42"/>
      <c r="BV80" s="34"/>
      <c r="BW80" s="41"/>
      <c r="BX80" s="41"/>
      <c r="BZ80" s="41"/>
      <c r="CA80" s="37"/>
      <c r="CC80" s="42"/>
      <c r="CD80" s="34"/>
      <c r="CE80" s="41"/>
      <c r="CF80" s="41"/>
      <c r="CH80" s="41"/>
      <c r="CI80" s="37"/>
      <c r="CK80" s="42"/>
      <c r="CL80" s="34"/>
      <c r="CM80" s="41"/>
      <c r="CN80" s="41"/>
      <c r="CP80" s="41"/>
      <c r="CQ80" s="37"/>
      <c r="CS80" s="42"/>
      <c r="CT80" s="34"/>
      <c r="CU80" s="41"/>
      <c r="CV80" s="41"/>
      <c r="CX80" s="41"/>
      <c r="CY80" s="37"/>
    </row>
    <row r="81" spans="1:103" s="1" customFormat="1" ht="20" customHeight="1">
      <c r="A81" s="42"/>
      <c r="B81" s="34"/>
      <c r="D81" s="41"/>
      <c r="E81" s="12"/>
      <c r="F81" s="14"/>
      <c r="G81" s="35"/>
      <c r="I81" s="42"/>
      <c r="J81" s="34"/>
      <c r="L81" s="41"/>
      <c r="N81" s="41"/>
      <c r="O81" s="37"/>
      <c r="Q81" s="42"/>
      <c r="R81" s="34"/>
      <c r="T81" s="41"/>
      <c r="V81" s="41"/>
      <c r="W81" s="37"/>
      <c r="Y81" s="42"/>
      <c r="Z81" s="34"/>
      <c r="AB81" s="41"/>
      <c r="AD81" s="41"/>
      <c r="AE81" s="37"/>
      <c r="AG81" s="42"/>
      <c r="AH81" s="34"/>
      <c r="AJ81" s="41"/>
      <c r="AL81" s="41"/>
      <c r="AM81" s="37"/>
      <c r="AO81" s="42"/>
      <c r="AP81" s="34"/>
      <c r="AR81" s="41"/>
      <c r="AT81" s="41"/>
      <c r="AU81" s="37"/>
      <c r="AW81" s="42"/>
      <c r="AX81" s="34"/>
      <c r="AZ81" s="41"/>
      <c r="BB81" s="41"/>
      <c r="BC81" s="37"/>
      <c r="BE81" s="42"/>
      <c r="BF81" s="34"/>
      <c r="BH81" s="41"/>
      <c r="BJ81" s="41"/>
      <c r="BK81" s="37"/>
      <c r="BL81" s="37"/>
      <c r="BM81" s="42"/>
      <c r="BN81" s="34"/>
      <c r="BP81" s="41"/>
      <c r="BR81" s="41"/>
      <c r="BS81" s="37"/>
      <c r="BU81" s="42"/>
      <c r="BV81" s="34"/>
      <c r="BW81" s="41"/>
      <c r="BX81" s="41"/>
      <c r="BZ81" s="41"/>
      <c r="CA81" s="37"/>
      <c r="CC81" s="42"/>
      <c r="CD81" s="34"/>
      <c r="CE81" s="41"/>
      <c r="CF81" s="41"/>
      <c r="CH81" s="41"/>
      <c r="CI81" s="37"/>
      <c r="CK81" s="42"/>
      <c r="CL81" s="34"/>
      <c r="CM81" s="41"/>
      <c r="CN81" s="41"/>
      <c r="CP81" s="41"/>
      <c r="CQ81" s="37"/>
      <c r="CS81" s="42"/>
      <c r="CT81" s="34"/>
      <c r="CU81" s="41"/>
      <c r="CV81" s="41"/>
      <c r="CX81" s="41"/>
      <c r="CY81" s="37"/>
    </row>
    <row r="82" spans="1:103" s="1" customFormat="1" ht="20" customHeight="1">
      <c r="A82" s="42"/>
      <c r="B82" s="34"/>
      <c r="D82" s="41"/>
      <c r="E82" s="12"/>
      <c r="F82" s="14"/>
      <c r="G82" s="35"/>
      <c r="I82" s="42"/>
      <c r="J82" s="34"/>
      <c r="L82" s="41"/>
      <c r="N82" s="41"/>
      <c r="O82" s="37"/>
      <c r="Q82" s="42"/>
      <c r="R82" s="34"/>
      <c r="T82" s="41"/>
      <c r="V82" s="41"/>
      <c r="W82" s="37"/>
      <c r="Y82" s="42"/>
      <c r="Z82" s="34"/>
      <c r="AB82" s="41"/>
      <c r="AD82" s="41"/>
      <c r="AE82" s="37"/>
      <c r="AG82" s="42"/>
      <c r="AH82" s="34"/>
      <c r="AJ82" s="41"/>
      <c r="AL82" s="41"/>
      <c r="AM82" s="37"/>
      <c r="AO82" s="42"/>
      <c r="AP82" s="34"/>
      <c r="AR82" s="41"/>
      <c r="AT82" s="41"/>
      <c r="AU82" s="37"/>
      <c r="AW82" s="42"/>
      <c r="AX82" s="34"/>
      <c r="AZ82" s="41"/>
      <c r="BB82" s="41"/>
      <c r="BC82" s="37"/>
      <c r="BE82" s="42"/>
      <c r="BF82" s="34"/>
      <c r="BH82" s="41"/>
      <c r="BJ82" s="41"/>
      <c r="BK82" s="37"/>
      <c r="BL82" s="37"/>
      <c r="BM82" s="42"/>
      <c r="BN82" s="34"/>
      <c r="BP82" s="41"/>
      <c r="BR82" s="41"/>
      <c r="BS82" s="37"/>
      <c r="BU82" s="42"/>
      <c r="BV82" s="34"/>
      <c r="BW82" s="41"/>
      <c r="BX82" s="41"/>
      <c r="BZ82" s="41"/>
      <c r="CA82" s="37"/>
      <c r="CC82" s="42"/>
      <c r="CD82" s="34"/>
      <c r="CE82" s="41"/>
      <c r="CF82" s="41"/>
      <c r="CH82" s="41"/>
      <c r="CI82" s="37"/>
      <c r="CK82" s="42"/>
      <c r="CL82" s="34"/>
      <c r="CM82" s="41"/>
      <c r="CN82" s="41"/>
      <c r="CP82" s="41"/>
      <c r="CQ82" s="37"/>
      <c r="CS82" s="42"/>
      <c r="CT82" s="34"/>
      <c r="CU82" s="41"/>
      <c r="CV82" s="41"/>
      <c r="CX82" s="41"/>
      <c r="CY82" s="37"/>
    </row>
    <row r="83" spans="1:103" s="1" customFormat="1" ht="20" customHeight="1">
      <c r="A83" s="42"/>
      <c r="B83" s="34"/>
      <c r="D83" s="41"/>
      <c r="E83" s="12"/>
      <c r="F83" s="14"/>
      <c r="G83" s="35"/>
      <c r="I83" s="42"/>
      <c r="J83" s="34"/>
      <c r="L83" s="41"/>
      <c r="N83" s="41"/>
      <c r="O83" s="37"/>
      <c r="Q83" s="42"/>
      <c r="R83" s="34"/>
      <c r="T83" s="41"/>
      <c r="V83" s="41"/>
      <c r="W83" s="37"/>
      <c r="Y83" s="42"/>
      <c r="Z83" s="34"/>
      <c r="AB83" s="41"/>
      <c r="AD83" s="41"/>
      <c r="AE83" s="37"/>
      <c r="AG83" s="42"/>
      <c r="AH83" s="34"/>
      <c r="AJ83" s="41"/>
      <c r="AL83" s="41"/>
      <c r="AM83" s="37"/>
      <c r="AO83" s="42"/>
      <c r="AP83" s="34"/>
      <c r="AR83" s="41"/>
      <c r="AT83" s="41"/>
      <c r="AU83" s="37"/>
      <c r="AW83" s="42"/>
      <c r="AX83" s="34"/>
      <c r="AZ83" s="41"/>
      <c r="BB83" s="41"/>
      <c r="BC83" s="37"/>
      <c r="BE83" s="42"/>
      <c r="BF83" s="34"/>
      <c r="BH83" s="41"/>
      <c r="BJ83" s="41"/>
      <c r="BK83" s="37"/>
      <c r="BL83" s="37"/>
      <c r="BM83" s="42"/>
      <c r="BN83" s="34"/>
      <c r="BP83" s="41"/>
      <c r="BR83" s="41"/>
      <c r="BS83" s="37"/>
      <c r="BU83" s="42"/>
      <c r="BV83" s="34"/>
      <c r="BW83" s="41"/>
      <c r="BX83" s="41"/>
      <c r="BZ83" s="41"/>
      <c r="CA83" s="37"/>
      <c r="CC83" s="42"/>
      <c r="CD83" s="34"/>
      <c r="CF83" s="41"/>
      <c r="CH83" s="41"/>
      <c r="CI83" s="37"/>
      <c r="CK83" s="42"/>
      <c r="CL83" s="34"/>
      <c r="CN83" s="41"/>
      <c r="CP83" s="41"/>
      <c r="CQ83" s="37"/>
      <c r="CS83" s="42"/>
      <c r="CT83" s="34"/>
      <c r="CV83" s="41"/>
      <c r="CX83" s="41"/>
      <c r="CY83" s="37"/>
    </row>
    <row r="84" spans="1:103" s="1" customFormat="1" ht="20" customHeight="1">
      <c r="A84" s="42"/>
      <c r="B84" s="34"/>
      <c r="D84" s="41"/>
      <c r="E84" s="12"/>
      <c r="F84" s="14"/>
      <c r="G84" s="35"/>
      <c r="I84" s="42"/>
      <c r="J84" s="34"/>
      <c r="L84" s="41"/>
      <c r="N84" s="41"/>
      <c r="O84" s="37"/>
      <c r="Q84" s="42"/>
      <c r="R84" s="34"/>
      <c r="T84" s="41"/>
      <c r="V84" s="41"/>
      <c r="W84" s="37"/>
      <c r="Y84" s="42"/>
      <c r="Z84" s="34"/>
      <c r="AB84" s="41"/>
      <c r="AD84" s="41"/>
      <c r="AE84" s="37"/>
      <c r="AG84" s="42"/>
      <c r="AH84" s="34"/>
      <c r="AJ84" s="41"/>
      <c r="AL84" s="41"/>
      <c r="AM84" s="37"/>
      <c r="AO84" s="42"/>
      <c r="AP84" s="34"/>
      <c r="AR84" s="41"/>
      <c r="AT84" s="41"/>
      <c r="AU84" s="37"/>
      <c r="AW84" s="42"/>
      <c r="AX84" s="34"/>
      <c r="AZ84" s="41"/>
      <c r="BB84" s="41"/>
      <c r="BC84" s="37"/>
      <c r="BE84" s="42"/>
      <c r="BF84" s="34"/>
      <c r="BH84" s="41"/>
      <c r="BJ84" s="41"/>
      <c r="BK84" s="37"/>
      <c r="BL84" s="37"/>
      <c r="BM84" s="42"/>
      <c r="BN84" s="34"/>
      <c r="BP84" s="41"/>
      <c r="BR84" s="41"/>
      <c r="BS84" s="37"/>
      <c r="BU84" s="42"/>
      <c r="BV84" s="34"/>
      <c r="BW84" s="41"/>
      <c r="BX84" s="41"/>
      <c r="BZ84" s="41"/>
      <c r="CA84" s="37"/>
      <c r="CC84" s="42"/>
      <c r="CD84" s="34"/>
      <c r="CF84" s="41"/>
      <c r="CH84" s="41"/>
      <c r="CI84" s="37"/>
      <c r="CK84" s="42"/>
      <c r="CL84" s="34"/>
      <c r="CN84" s="41"/>
      <c r="CP84" s="41"/>
      <c r="CQ84" s="37"/>
      <c r="CS84" s="42"/>
      <c r="CT84" s="34"/>
      <c r="CV84" s="41"/>
      <c r="CX84" s="41"/>
      <c r="CY84" s="37"/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5" operator="containsText" id="{AC99CD97-F1A5-5542-9322-B54A033048D6}">
            <xm:f>NOT(ISERROR(SEARCH("-",E7)))</xm:f>
            <xm:f>"-"</xm:f>
            <x14:dxf>
              <font>
                <color rgb="FFFF0000"/>
              </font>
            </x14:dxf>
          </x14:cfRule>
          <xm:sqref>E7:G16 BY7:CA16 CG7:CI16 CO7:CQ16 CW7:CY16 E19:G28 BY19:CA28 CG19:CI28 CO19:CQ28 CW19:CY28 E31:G40 BY31:CA40 CG31:CI40 CO31:CQ40 CW31:CY40 E43:G52 BY43:CA52 CG43:CI52 CO43:CQ52 CW43:CY52 E55:G65 BY55:CA65 CG55:CI65 CO55:CQ65 CW55:CY65</xm:sqref>
        </x14:conditionalFormatting>
        <x14:conditionalFormatting xmlns:xm="http://schemas.microsoft.com/office/excel/2006/main">
          <x14:cfRule type="containsText" priority="52" operator="containsText" id="{A7CC93F5-F0BA-A84F-9AC4-50BD3E4C45DA}">
            <xm:f>NOT(ISERROR(SEARCH("-",E77)))</xm:f>
            <xm:f>"-"</xm:f>
            <x14:dxf>
              <font>
                <color rgb="FFFF0000"/>
              </font>
            </x14:dxf>
          </x14:cfRule>
          <xm:sqref>E77:G84</xm:sqref>
        </x14:conditionalFormatting>
        <x14:conditionalFormatting xmlns:xm="http://schemas.microsoft.com/office/excel/2006/main">
          <x14:cfRule type="containsText" priority="8" operator="containsText" id="{CAFA826D-C2C4-1847-B712-CA90A905F7FD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51" operator="containsText" id="{F15C7D5F-EDD2-524F-9678-783135074230}">
            <xm:f>NOT(ISERROR(SEARCH("-",M77)))</xm:f>
            <xm:f>"-"</xm:f>
            <x14:dxf>
              <font>
                <color rgb="FFFF0000"/>
              </font>
            </x14:dxf>
          </x14:cfRule>
          <xm:sqref>M77:O84</xm:sqref>
        </x14:conditionalFormatting>
        <x14:conditionalFormatting xmlns:xm="http://schemas.microsoft.com/office/excel/2006/main">
          <x14:cfRule type="containsText" priority="7" operator="containsText" id="{A5F5E040-8B6D-5C46-BAB0-1354CA97D07E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50" operator="containsText" id="{82A72351-DCDA-384D-ADA3-1D3A41272FDE}">
            <xm:f>NOT(ISERROR(SEARCH("-",U77)))</xm:f>
            <xm:f>"-"</xm:f>
            <x14:dxf>
              <font>
                <color rgb="FFFF0000"/>
              </font>
            </x14:dxf>
          </x14:cfRule>
          <xm:sqref>U77:W84</xm:sqref>
        </x14:conditionalFormatting>
        <x14:conditionalFormatting xmlns:xm="http://schemas.microsoft.com/office/excel/2006/main">
          <x14:cfRule type="containsText" priority="6" operator="containsText" id="{C47DCEF3-6CD5-A241-BABA-8241C693878B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41" operator="containsText" id="{075232D6-7DBC-A842-9BF2-1B66F48B6AA6}">
            <xm:f>NOT(ISERROR(SEARCH("-",AC77)))</xm:f>
            <xm:f>"-"</xm:f>
            <x14:dxf>
              <font>
                <color rgb="FFFF0000"/>
              </font>
            </x14:dxf>
          </x14:cfRule>
          <xm:sqref>AC77:AE84</xm:sqref>
        </x14:conditionalFormatting>
        <x14:conditionalFormatting xmlns:xm="http://schemas.microsoft.com/office/excel/2006/main">
          <x14:cfRule type="containsText" priority="5" operator="containsText" id="{4AEF228E-B80E-E447-A110-50C8FE32E1E4}">
            <xm:f>NOT(ISERROR(SEARCH("-",AK5)))</xm:f>
            <xm:f>"-"</xm:f>
            <x14:dxf>
              <font>
                <color rgb="FFFF0000"/>
              </font>
            </x14:dxf>
          </x14:cfRule>
          <xm:sqref>AK5:AM65</xm:sqref>
        </x14:conditionalFormatting>
        <x14:conditionalFormatting xmlns:xm="http://schemas.microsoft.com/office/excel/2006/main">
          <x14:cfRule type="containsText" priority="49" operator="containsText" id="{698F2399-F192-A946-886A-F665C2B3AE00}">
            <xm:f>NOT(ISERROR(SEARCH("-",AK77)))</xm:f>
            <xm:f>"-"</xm:f>
            <x14:dxf>
              <font>
                <color rgb="FFFF0000"/>
              </font>
            </x14:dxf>
          </x14:cfRule>
          <xm:sqref>AK77:AM84</xm:sqref>
        </x14:conditionalFormatting>
        <x14:conditionalFormatting xmlns:xm="http://schemas.microsoft.com/office/excel/2006/main">
          <x14:cfRule type="containsText" priority="4" operator="containsText" id="{61589E37-9EF4-5641-A7F0-3406B9F76E8B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42" operator="containsText" id="{76D77F1B-A45F-2544-A8FA-22CB3F295A19}">
            <xm:f>NOT(ISERROR(SEARCH("-",AS77)))</xm:f>
            <xm:f>"-"</xm:f>
            <x14:dxf>
              <font>
                <color rgb="FFFF0000"/>
              </font>
            </x14:dxf>
          </x14:cfRule>
          <xm:sqref>AS77:AU84</xm:sqref>
        </x14:conditionalFormatting>
        <x14:conditionalFormatting xmlns:xm="http://schemas.microsoft.com/office/excel/2006/main">
          <x14:cfRule type="containsText" priority="3" operator="containsText" id="{0D07CF2D-B606-224B-9227-E26F47E3491B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47" operator="containsText" id="{C0CA2086-6244-1743-BFE2-6A1F7B17A765}">
            <xm:f>NOT(ISERROR(SEARCH("-",BA77)))</xm:f>
            <xm:f>"-"</xm:f>
            <x14:dxf>
              <font>
                <color rgb="FFFF0000"/>
              </font>
            </x14:dxf>
          </x14:cfRule>
          <xm:sqref>BA77:BC84</xm:sqref>
        </x14:conditionalFormatting>
        <x14:conditionalFormatting xmlns:xm="http://schemas.microsoft.com/office/excel/2006/main">
          <x14:cfRule type="containsText" priority="2" operator="containsText" id="{E06574E0-C6F8-0B41-BF23-386DA6AD8053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48" operator="containsText" id="{5C661368-954A-9648-88A9-FFF4A6E4B185}">
            <xm:f>NOT(ISERROR(SEARCH("-",BI77)))</xm:f>
            <xm:f>"-"</xm:f>
            <x14:dxf>
              <font>
                <color rgb="FFFF0000"/>
              </font>
            </x14:dxf>
          </x14:cfRule>
          <xm:sqref>BI77:BK84</xm:sqref>
        </x14:conditionalFormatting>
        <x14:conditionalFormatting xmlns:xm="http://schemas.microsoft.com/office/excel/2006/main">
          <x14:cfRule type="containsText" priority="1" operator="containsText" id="{25049276-BC67-F248-BBE7-7BE71BCECE67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53" operator="containsText" id="{1BD22FD7-2A9F-8744-8956-C3632202952C}">
            <xm:f>NOT(ISERROR(SEARCH("-",BQ77)))</xm:f>
            <xm:f>"-"</xm:f>
            <x14:dxf>
              <font>
                <color rgb="FFFF0000"/>
              </font>
            </x14:dxf>
          </x14:cfRule>
          <xm:sqref>BQ77:BS84</xm:sqref>
        </x14:conditionalFormatting>
        <x14:conditionalFormatting xmlns:xm="http://schemas.microsoft.com/office/excel/2006/main">
          <x14:cfRule type="containsText" priority="46" operator="containsText" id="{FD3A714E-EDFD-094E-8F52-7B49430F5FB8}">
            <xm:f>NOT(ISERROR(SEARCH("-",BY77)))</xm:f>
            <xm:f>"-"</xm:f>
            <x14:dxf>
              <font>
                <color rgb="FFFF0000"/>
              </font>
            </x14:dxf>
          </x14:cfRule>
          <xm:sqref>BY77:CA84</xm:sqref>
        </x14:conditionalFormatting>
        <x14:conditionalFormatting xmlns:xm="http://schemas.microsoft.com/office/excel/2006/main">
          <x14:cfRule type="containsText" priority="45" operator="containsText" id="{06C2DD2A-492A-F14B-ADC4-3F255073F03A}">
            <xm:f>NOT(ISERROR(SEARCH("-",CG77)))</xm:f>
            <xm:f>"-"</xm:f>
            <x14:dxf>
              <font>
                <color rgb="FFFF0000"/>
              </font>
            </x14:dxf>
          </x14:cfRule>
          <xm:sqref>CG77:CI84</xm:sqref>
        </x14:conditionalFormatting>
        <x14:conditionalFormatting xmlns:xm="http://schemas.microsoft.com/office/excel/2006/main">
          <x14:cfRule type="containsText" priority="44" operator="containsText" id="{C4E61DA2-C5FB-404A-AC93-5D490630DCCB}">
            <xm:f>NOT(ISERROR(SEARCH("-",CO77)))</xm:f>
            <xm:f>"-"</xm:f>
            <x14:dxf>
              <font>
                <color rgb="FFFF0000"/>
              </font>
            </x14:dxf>
          </x14:cfRule>
          <xm:sqref>CO77:CQ84</xm:sqref>
        </x14:conditionalFormatting>
        <x14:conditionalFormatting xmlns:xm="http://schemas.microsoft.com/office/excel/2006/main">
          <x14:cfRule type="containsText" priority="43" operator="containsText" id="{C8E92925-E7ED-114B-84E9-2C6CC8A15BC7}">
            <xm:f>NOT(ISERROR(SEARCH("-",CW77)))</xm:f>
            <xm:f>"-"</xm:f>
            <x14:dxf>
              <font>
                <color rgb="FFFF0000"/>
              </font>
            </x14:dxf>
          </x14:cfRule>
          <xm:sqref>CW77:CY84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2025-12-06T14:08:50Z</dcterms:modified>
</cp:coreProperties>
</file>